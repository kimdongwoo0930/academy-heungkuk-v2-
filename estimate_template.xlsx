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★발송_2026_확인서, 견적서\"/>
    </mc:Choice>
  </mc:AlternateContent>
  <bookViews>
    <workbookView xWindow="0" yWindow="0" windowWidth="28800" windowHeight="11835"/>
  </bookViews>
  <sheets>
    <sheet name="빈파일" sheetId="1" r:id="rId1"/>
  </sheets>
  <definedNames>
    <definedName name="_xlnm.Print_Area" localSheetId="0">빈파일!$A$1:$V$68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5" i="1" l="1"/>
  <c r="R45" i="1"/>
  <c r="P45" i="1"/>
  <c r="N45" i="1"/>
  <c r="L45" i="1"/>
  <c r="J45" i="1"/>
  <c r="H45" i="1"/>
  <c r="F45" i="1"/>
  <c r="D45" i="1"/>
  <c r="B45" i="1"/>
  <c r="U44" i="1"/>
  <c r="U43" i="1"/>
  <c r="U42" i="1"/>
  <c r="U45" i="1" s="1"/>
  <c r="N34" i="1" s="1"/>
  <c r="N35" i="1"/>
  <c r="N29" i="1"/>
  <c r="N28" i="1"/>
  <c r="Q28" i="1" s="1"/>
  <c r="T28" i="1" s="1"/>
  <c r="N27" i="1"/>
  <c r="N26" i="1"/>
  <c r="N25" i="1"/>
  <c r="Q25" i="1" s="1"/>
  <c r="T25" i="1" s="1"/>
  <c r="N24" i="1"/>
  <c r="N23" i="1"/>
  <c r="N22" i="1"/>
  <c r="N21" i="1"/>
  <c r="N20" i="1"/>
  <c r="N19" i="1"/>
  <c r="N36" i="1" l="1"/>
  <c r="Q34" i="1"/>
  <c r="T34" i="1" s="1"/>
  <c r="T27" i="1"/>
  <c r="Q23" i="1"/>
  <c r="T23" i="1" s="1"/>
  <c r="Q35" i="1"/>
  <c r="T35" i="1" s="1"/>
  <c r="Q20" i="1"/>
  <c r="T20" i="1" s="1"/>
  <c r="Q26" i="1"/>
  <c r="T26" i="1" s="1"/>
  <c r="Q21" i="1"/>
  <c r="T21" i="1" s="1"/>
  <c r="Q27" i="1"/>
  <c r="Q22" i="1"/>
  <c r="T22" i="1" s="1"/>
  <c r="Q29" i="1"/>
  <c r="T29" i="1" s="1"/>
  <c r="Q24" i="1"/>
  <c r="T24" i="1" s="1"/>
  <c r="Q19" i="1"/>
  <c r="T19" i="1" s="1"/>
  <c r="N30" i="1"/>
  <c r="N31" i="1" l="1"/>
  <c r="Q30" i="1"/>
  <c r="T30" i="1" s="1"/>
  <c r="Q36" i="1"/>
  <c r="T36" i="1" s="1"/>
  <c r="T32" i="1" l="1"/>
  <c r="N32" i="1" s="1"/>
  <c r="N38" i="1" s="1"/>
  <c r="Q32" i="1" l="1"/>
  <c r="Q38" i="1"/>
  <c r="T38" i="1" s="1"/>
</calcChain>
</file>

<file path=xl/sharedStrings.xml><?xml version="1.0" encoding="utf-8"?>
<sst xmlns="http://schemas.openxmlformats.org/spreadsheetml/2006/main" count="110" uniqueCount="83">
  <si>
    <t xml:space="preserve"> 견   적   서</t>
    <phoneticPr fontId="4" type="noConversion"/>
  </si>
  <si>
    <t>공
급
자</t>
    <phoneticPr fontId="4" type="noConversion"/>
  </si>
  <si>
    <t>등록번호</t>
    <phoneticPr fontId="4" type="noConversion"/>
  </si>
  <si>
    <t>135 - 85 - 03824</t>
    <phoneticPr fontId="4" type="noConversion"/>
  </si>
  <si>
    <t>귀중</t>
    <phoneticPr fontId="4" type="noConversion"/>
  </si>
  <si>
    <t>상    호</t>
    <phoneticPr fontId="4" type="noConversion"/>
  </si>
  <si>
    <t>흥국생명보험㈜ 연수원</t>
    <phoneticPr fontId="4" type="noConversion"/>
  </si>
  <si>
    <t>대    표</t>
    <phoneticPr fontId="4" type="noConversion"/>
  </si>
  <si>
    <t>김대현</t>
    <phoneticPr fontId="4" type="noConversion"/>
  </si>
  <si>
    <t>사업장소재지</t>
    <phoneticPr fontId="4" type="noConversion"/>
  </si>
  <si>
    <t>경기도 용인시 기흥구 중부대로819번길 57-9</t>
    <phoneticPr fontId="4" type="noConversion"/>
  </si>
  <si>
    <t>▶ 견적  일자:</t>
    <phoneticPr fontId="4" type="noConversion"/>
  </si>
  <si>
    <t xml:space="preserve">▷ 담 당 자 : </t>
    <phoneticPr fontId="4" type="noConversion"/>
  </si>
  <si>
    <t>김 대 술 소장</t>
    <phoneticPr fontId="4" type="noConversion"/>
  </si>
  <si>
    <t>▶ 담  당  자:</t>
    <phoneticPr fontId="4" type="noConversion"/>
  </si>
  <si>
    <t xml:space="preserve">▷ 연 락 처 : </t>
    <phoneticPr fontId="4" type="noConversion"/>
  </si>
  <si>
    <t>T. 031-283-6157(직통)     F. 031-284-5323</t>
    <phoneticPr fontId="4" type="noConversion"/>
  </si>
  <si>
    <t>▶ 연  락  처:</t>
    <phoneticPr fontId="4" type="noConversion"/>
  </si>
  <si>
    <t>▷  E-mail :</t>
    <phoneticPr fontId="4" type="noConversion"/>
  </si>
  <si>
    <t>hka6157@naver.com</t>
    <phoneticPr fontId="4" type="noConversion"/>
  </si>
  <si>
    <t xml:space="preserve">▶ 이  메  일: </t>
    <phoneticPr fontId="4" type="noConversion"/>
  </si>
  <si>
    <t>▷  홈페이지 :</t>
    <phoneticPr fontId="4" type="noConversion"/>
  </si>
  <si>
    <t xml:space="preserve"> http://www.hungkukacademy.co.kr/</t>
    <phoneticPr fontId="4" type="noConversion"/>
  </si>
  <si>
    <t>회 사 명</t>
    <phoneticPr fontId="4" type="noConversion"/>
  </si>
  <si>
    <t>교육 명칭</t>
    <phoneticPr fontId="4" type="noConversion"/>
  </si>
  <si>
    <t>사용 기간</t>
    <phoneticPr fontId="4" type="noConversion"/>
  </si>
  <si>
    <t>~</t>
    <phoneticPr fontId="3" type="noConversion"/>
  </si>
  <si>
    <t>품목</t>
    <phoneticPr fontId="4" type="noConversion"/>
  </si>
  <si>
    <t>규격</t>
    <phoneticPr fontId="4" type="noConversion"/>
  </si>
  <si>
    <t>수량</t>
    <phoneticPr fontId="4" type="noConversion"/>
  </si>
  <si>
    <t>단가</t>
    <phoneticPr fontId="4" type="noConversion"/>
  </si>
  <si>
    <t>공급가액</t>
    <phoneticPr fontId="4" type="noConversion"/>
  </si>
  <si>
    <t>세액</t>
    <phoneticPr fontId="4" type="noConversion"/>
  </si>
  <si>
    <t>합계</t>
    <phoneticPr fontId="4" type="noConversion"/>
  </si>
  <si>
    <t>숙박비</t>
    <phoneticPr fontId="4" type="noConversion"/>
  </si>
  <si>
    <t>4인 침대</t>
    <phoneticPr fontId="4" type="noConversion"/>
  </si>
  <si>
    <t>박</t>
    <phoneticPr fontId="4" type="noConversion"/>
  </si>
  <si>
    <t>실</t>
    <phoneticPr fontId="4" type="noConversion"/>
  </si>
  <si>
    <t>2인 침대</t>
    <phoneticPr fontId="4" type="noConversion"/>
  </si>
  <si>
    <t>박</t>
    <phoneticPr fontId="4" type="noConversion"/>
  </si>
  <si>
    <t>실</t>
    <phoneticPr fontId="4" type="noConversion"/>
  </si>
  <si>
    <t>1인 침대</t>
    <phoneticPr fontId="4" type="noConversion"/>
  </si>
  <si>
    <t>강의실비</t>
    <phoneticPr fontId="4" type="noConversion"/>
  </si>
  <si>
    <t>대형(120인)</t>
    <phoneticPr fontId="4" type="noConversion"/>
  </si>
  <si>
    <t>일</t>
    <phoneticPr fontId="4" type="noConversion"/>
  </si>
  <si>
    <t>중형(70인)</t>
    <phoneticPr fontId="4" type="noConversion"/>
  </si>
  <si>
    <t>일</t>
    <phoneticPr fontId="4" type="noConversion"/>
  </si>
  <si>
    <t>중형(50인)</t>
    <phoneticPr fontId="4" type="noConversion"/>
  </si>
  <si>
    <t>소형(30인)</t>
    <phoneticPr fontId="4" type="noConversion"/>
  </si>
  <si>
    <t>일</t>
    <phoneticPr fontId="4" type="noConversion"/>
  </si>
  <si>
    <t>소형(20인)</t>
    <phoneticPr fontId="4" type="noConversion"/>
  </si>
  <si>
    <t>실</t>
    <phoneticPr fontId="4" type="noConversion"/>
  </si>
  <si>
    <t>소형(20인) 진행실</t>
    <phoneticPr fontId="4" type="noConversion"/>
  </si>
  <si>
    <t>분임실(12인)</t>
    <phoneticPr fontId="4" type="noConversion"/>
  </si>
  <si>
    <t>다목적실</t>
    <phoneticPr fontId="4" type="noConversion"/>
  </si>
  <si>
    <t xml:space="preserve"> 계</t>
    <phoneticPr fontId="4" type="noConversion"/>
  </si>
  <si>
    <t>할인 적용</t>
    <phoneticPr fontId="4" type="noConversion"/>
  </si>
  <si>
    <t>강의실, 숙박 비용에 대한</t>
    <phoneticPr fontId="4" type="noConversion"/>
  </si>
  <si>
    <t>할인</t>
    <phoneticPr fontId="4" type="noConversion"/>
  </si>
  <si>
    <t>시설 계</t>
    <phoneticPr fontId="4" type="noConversion"/>
  </si>
  <si>
    <t>식비</t>
    <phoneticPr fontId="4" type="noConversion"/>
  </si>
  <si>
    <t>일반식</t>
    <phoneticPr fontId="4" type="noConversion"/>
  </si>
  <si>
    <t>식</t>
    <phoneticPr fontId="4" type="noConversion"/>
  </si>
  <si>
    <t>특식</t>
    <phoneticPr fontId="4" type="noConversion"/>
  </si>
  <si>
    <t>식비 계</t>
    <phoneticPr fontId="4" type="noConversion"/>
  </si>
  <si>
    <t>시설 + 식비 계</t>
    <phoneticPr fontId="4" type="noConversion"/>
  </si>
  <si>
    <t>▶ 식수 현황(일반식)</t>
    <phoneticPr fontId="4" type="noConversion"/>
  </si>
  <si>
    <t>식수계</t>
    <phoneticPr fontId="4" type="noConversion"/>
  </si>
  <si>
    <t>조식</t>
    <phoneticPr fontId="4" type="noConversion"/>
  </si>
  <si>
    <t>중식</t>
    <phoneticPr fontId="4" type="noConversion"/>
  </si>
  <si>
    <t>석식</t>
    <phoneticPr fontId="4" type="noConversion"/>
  </si>
  <si>
    <t>소계</t>
    <phoneticPr fontId="4" type="noConversion"/>
  </si>
  <si>
    <t>★대관견적서 이메일 전송 후 연수원 시설 사용여부를 15일이내 이메일로 재전송 부탁드립니다</t>
    <phoneticPr fontId="4" type="noConversion"/>
  </si>
  <si>
    <t xml:space="preserve"> (대관계약서는 별도로 없고 대관확인서 작성 후 서명 및 도장날인이 완료되면 예약완료됩니다)</t>
    <phoneticPr fontId="4" type="noConversion"/>
  </si>
  <si>
    <t>★대관견적서 이메일 전송 후 연수원 시설 사용여부를 15일이내 이메일로 재전송 부탁드립니다</t>
    <phoneticPr fontId="4" type="noConversion"/>
  </si>
  <si>
    <t xml:space="preserve"> (대관계약서는 별도로 없고 대관확인서 작성 후 서명 및 도장날인이 완료되면 예약완료됩니다)</t>
    <phoneticPr fontId="4" type="noConversion"/>
  </si>
  <si>
    <t>▶시설 이용시 유의사항</t>
    <phoneticPr fontId="4" type="noConversion"/>
  </si>
  <si>
    <r>
      <rPr>
        <b/>
        <sz val="15"/>
        <color indexed="12"/>
        <rFont val="나눔바른고딕"/>
        <family val="3"/>
        <charset val="129"/>
      </rPr>
      <t>▹ 특식은 별도 예약 바라며 10일 전 확정되어야 합니다.(070 - 8915 - 0872  장지원 점장)</t>
    </r>
    <r>
      <rPr>
        <sz val="15"/>
        <rFont val="나눔바른고딕"/>
        <family val="3"/>
        <charset val="129"/>
      </rPr>
      <t xml:space="preserve">
  ** 식당 운영 시간 : 조식(07:30~08:30), 중식(12:00~13:00), 석식(18:00~19:00)
  ** 식사는 예약제로 운영되기때문에 신청 인원에서 변동이 있을 경우 입소 4일전 오전 10시까지 확정 통보하여 주시기 바랍니다.
     (통보가 없을 시 신청인원으로 청구되며, 인원초과시는 초과 인원으로 정산됩니다.)
  </t>
    </r>
    <r>
      <rPr>
        <sz val="15"/>
        <color indexed="10"/>
        <rFont val="나눔바른고딕"/>
        <family val="3"/>
        <charset val="129"/>
      </rPr>
      <t xml:space="preserve">** 시설(강의실,숙박)과 식당의 사업자가 달라 결제가 별도로 진행되는 점 참고하여 주시기 바랍니다.
 </t>
    </r>
    <r>
      <rPr>
        <sz val="15"/>
        <rFont val="나눔바른고딕"/>
        <family val="3"/>
        <charset val="129"/>
      </rPr>
      <t xml:space="preserve">
▹ 기타
  ** 생활관(숙소) : 입실(13시) / 퇴실(09:30)
  ** 연수원내 바베큐 행사 및 취사 불가
  ** 퇴소일이 주말, 공휴일일 경우 전일 정산합니다.</t>
    </r>
    <phoneticPr fontId="4" type="noConversion"/>
  </si>
  <si>
    <r>
      <rPr>
        <b/>
        <sz val="16"/>
        <rFont val="맑은 고딕"/>
        <family val="3"/>
        <charset val="129"/>
      </rPr>
      <t>▶</t>
    </r>
    <r>
      <rPr>
        <b/>
        <sz val="16"/>
        <rFont val="나눔바른고딕"/>
        <family val="3"/>
        <charset val="129"/>
      </rPr>
      <t>기타 사항</t>
    </r>
    <phoneticPr fontId="4" type="noConversion"/>
  </si>
  <si>
    <t xml:space="preserve">  1. 교육이 확정 되시면 시설사용신청서(흥국생명연수원 홈페이지-임대안내-신청하기))와 계약금을 입금하셔야 예약 효력이 유효 합니다.</t>
    <phoneticPr fontId="4" type="noConversion"/>
  </si>
  <si>
    <t xml:space="preserve">  2. 신청서류 : </t>
    <phoneticPr fontId="4" type="noConversion"/>
  </si>
  <si>
    <t>① 법인 단체 : 사업자등록증 사본 1부, 시설사용신청서 1부</t>
    <phoneticPr fontId="4" type="noConversion"/>
  </si>
  <si>
    <t>날자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</si>
</sst>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-* #,##0_-;\-* #,##0_-;_-* &quot;-&quot;_-;_-@_-"/>
    <numFmt numFmtId="43" formatCode="_-* #,##0.00_-;\-* #,##0.00_-;_-* &quot;-&quot;??_-;_-@_-"/>
    <numFmt numFmtId="176" formatCode="yyyy/mm/dd\(aaa\)"/>
    <numFmt numFmtId="177" formatCode="yyyy&quot;년&quot;\ mm&quot;월&quot;\ dd&quot;일&quot;\ \(aaa\)"/>
    <numFmt numFmtId="178" formatCode="#,###\ &quot;원정-&quot;"/>
    <numFmt numFmtId="179" formatCode="_-* #,##0_-;\-* #,##0_-;_-* &quot;-&quot;?_-;_-@_-"/>
    <numFmt numFmtId="180" formatCode="&quot;₩&quot;#,##0"/>
    <numFmt numFmtId="181" formatCode="#,##0;[Red]#,##0"/>
    <numFmt numFmtId="182" formatCode="d&quot;일&quot;\(aaa\)"/>
    <numFmt numFmtId="183" formatCode="0\ &quot;일&quot;"/>
    <numFmt numFmtId="184" formatCode="0_ "/>
    <numFmt numFmtId="185" formatCode="yyyy&quot;년&quot;\ m&quot;월&quot;\ d&quot;일&quot;;@"/>
  </numFmts>
  <fonts count="34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48"/>
      <name val="흥국씨앗 B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나눔바른고딕"/>
      <family val="3"/>
      <charset val="129"/>
    </font>
    <font>
      <b/>
      <sz val="11"/>
      <name val="나눔바른고딕"/>
      <family val="3"/>
      <charset val="129"/>
    </font>
    <font>
      <b/>
      <sz val="22"/>
      <name val="나눔바른고딕"/>
      <family val="3"/>
      <charset val="129"/>
    </font>
    <font>
      <b/>
      <sz val="14"/>
      <name val="나눔바른고딕"/>
      <family val="3"/>
      <charset val="129"/>
    </font>
    <font>
      <b/>
      <sz val="16"/>
      <name val="나눔바른고딕"/>
      <family val="3"/>
      <charset val="129"/>
    </font>
    <font>
      <b/>
      <sz val="18"/>
      <name val="나눔바른고딕"/>
      <family val="3"/>
      <charset val="129"/>
    </font>
    <font>
      <b/>
      <sz val="24"/>
      <name val="나눔바른고딕"/>
      <family val="3"/>
      <charset val="129"/>
    </font>
    <font>
      <b/>
      <sz val="20"/>
      <name val="나눔바른고딕"/>
      <family val="3"/>
      <charset val="129"/>
    </font>
    <font>
      <b/>
      <u/>
      <sz val="18"/>
      <color rgb="FF0000FF"/>
      <name val="나눔바른고딕"/>
      <family val="3"/>
      <charset val="129"/>
    </font>
    <font>
      <b/>
      <sz val="18"/>
      <color theme="1"/>
      <name val="나눔바른고딕"/>
      <family val="3"/>
      <charset val="129"/>
    </font>
    <font>
      <u/>
      <sz val="11"/>
      <color theme="10"/>
      <name val="돋움"/>
      <family val="3"/>
      <charset val="129"/>
    </font>
    <font>
      <b/>
      <sz val="20"/>
      <color theme="1"/>
      <name val="나눔바른고딕"/>
      <family val="3"/>
      <charset val="129"/>
    </font>
    <font>
      <u/>
      <sz val="18"/>
      <color theme="10"/>
      <name val="돋움"/>
      <family val="3"/>
      <charset val="129"/>
    </font>
    <font>
      <b/>
      <sz val="15"/>
      <name val="나눔바른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8"/>
      <color rgb="FFFF0000"/>
      <name val="나눔바른고딕"/>
      <family val="3"/>
      <charset val="129"/>
    </font>
    <font>
      <b/>
      <sz val="18"/>
      <color rgb="FF0000FF"/>
      <name val="나눔바른고딕"/>
      <family val="3"/>
      <charset val="129"/>
    </font>
    <font>
      <sz val="18"/>
      <name val="나눔바른고딕"/>
      <family val="3"/>
      <charset val="129"/>
    </font>
    <font>
      <b/>
      <sz val="15"/>
      <color rgb="FF0000FF"/>
      <name val="나눔바른고딕"/>
      <family val="3"/>
      <charset val="129"/>
    </font>
    <font>
      <b/>
      <sz val="15"/>
      <color rgb="FFFF0000"/>
      <name val="나눔바른고딕"/>
      <family val="3"/>
      <charset val="129"/>
    </font>
    <font>
      <sz val="15"/>
      <name val="나눔바른고딕"/>
      <family val="3"/>
      <charset val="129"/>
    </font>
    <font>
      <b/>
      <sz val="15"/>
      <color indexed="12"/>
      <name val="나눔바른고딕"/>
      <family val="3"/>
      <charset val="129"/>
    </font>
    <font>
      <sz val="15"/>
      <color indexed="10"/>
      <name val="나눔바른고딕"/>
      <family val="3"/>
      <charset val="129"/>
    </font>
    <font>
      <b/>
      <sz val="16"/>
      <name val="맑은 고딕"/>
      <family val="3"/>
      <charset val="129"/>
    </font>
    <font>
      <b/>
      <sz val="12"/>
      <name val="나눔바른고딕"/>
      <family val="3"/>
      <charset val="129"/>
    </font>
    <font>
      <sz val="12"/>
      <name val="나눔바른고딕"/>
      <family val="3"/>
      <charset val="129"/>
    </font>
    <font>
      <sz val="10"/>
      <name val="나눔바른고딕"/>
      <family val="3"/>
      <charset val="129"/>
    </font>
    <font>
      <b/>
      <sz val="10"/>
      <name val="나눔바른고딕"/>
      <family val="3"/>
      <charset val="129"/>
    </font>
    <font>
      <sz val="11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theme="0" tint="-0.499984740745262"/>
      </left>
      <right style="hair">
        <color indexed="64"/>
      </right>
      <top style="medium">
        <color theme="0" tint="-0.49998474074526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theme="0" tint="-0.499984740745262"/>
      </top>
      <bottom style="hair">
        <color indexed="64"/>
      </bottom>
      <diagonal/>
    </border>
    <border>
      <left style="hair">
        <color indexed="64"/>
      </left>
      <right/>
      <top style="medium">
        <color theme="0" tint="-0.499984740745262"/>
      </top>
      <bottom style="hair">
        <color indexed="64"/>
      </bottom>
      <diagonal/>
    </border>
    <border>
      <left/>
      <right style="hair">
        <color indexed="64"/>
      </right>
      <top style="medium">
        <color theme="0" tint="-0.499984740745262"/>
      </top>
      <bottom style="hair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indexed="64"/>
      </bottom>
      <diagonal/>
    </border>
    <border>
      <left style="medium">
        <color theme="0" tint="-0.499984740745262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theme="0" tint="-0.499984740745262"/>
      </right>
      <top style="hair">
        <color indexed="64"/>
      </top>
      <bottom style="hair">
        <color indexed="64"/>
      </bottom>
      <diagonal/>
    </border>
    <border>
      <left style="medium">
        <color theme="0" tint="-0.499984740745262"/>
      </left>
      <right style="hair">
        <color indexed="64"/>
      </right>
      <top/>
      <bottom style="medium">
        <color theme="0" tint="-0.499984740745262"/>
      </bottom>
      <diagonal/>
    </border>
    <border>
      <left style="hair">
        <color indexed="64"/>
      </left>
      <right style="hair">
        <color indexed="64"/>
      </right>
      <top/>
      <bottom style="medium">
        <color theme="0" tint="-0.499984740745262"/>
      </bottom>
      <diagonal/>
    </border>
    <border>
      <left style="hair">
        <color indexed="64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hair">
        <color indexed="64"/>
      </right>
      <top/>
      <bottom style="medium">
        <color theme="0" tint="-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0" tint="-0.499984740745262"/>
      </bottom>
      <diagonal/>
    </border>
    <border>
      <left style="hair">
        <color indexed="64"/>
      </left>
      <right style="medium">
        <color theme="0" tint="-0.499984740745262"/>
      </right>
      <top style="hair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hair">
        <color indexed="64"/>
      </right>
      <top style="medium">
        <color theme="0" tint="-0.499984740745262"/>
      </top>
      <bottom style="double">
        <color theme="0" tint="-0.499984740745262"/>
      </bottom>
      <diagonal/>
    </border>
    <border>
      <left style="hair">
        <color indexed="64"/>
      </left>
      <right style="hair">
        <color indexed="64"/>
      </right>
      <top style="medium">
        <color theme="0" tint="-0.499984740745262"/>
      </top>
      <bottom style="double">
        <color theme="0" tint="-0.499984740745262"/>
      </bottom>
      <diagonal/>
    </border>
    <border>
      <left style="hair">
        <color indexed="64"/>
      </left>
      <right/>
      <top style="medium">
        <color theme="0" tint="-0.499984740745262"/>
      </top>
      <bottom style="double">
        <color theme="0" tint="-0.499984740745262"/>
      </bottom>
      <diagonal/>
    </border>
    <border>
      <left style="hair">
        <color theme="1"/>
      </left>
      <right style="hair">
        <color indexed="64"/>
      </right>
      <top style="medium">
        <color theme="0" tint="-0.499984740745262"/>
      </top>
      <bottom style="double">
        <color theme="0" tint="-0.499984740745262"/>
      </bottom>
      <diagonal/>
    </border>
    <border>
      <left style="hair">
        <color theme="0" tint="-0.499984740745262"/>
      </left>
      <right style="hair">
        <color indexed="64"/>
      </right>
      <top style="medium">
        <color theme="0" tint="-0.499984740745262"/>
      </top>
      <bottom style="double">
        <color theme="0" tint="-0.499984740745262"/>
      </bottom>
      <diagonal/>
    </border>
    <border>
      <left style="hair">
        <color indexed="64"/>
      </left>
      <right style="medium">
        <color theme="0" tint="-0.499984740745262"/>
      </right>
      <top style="medium">
        <color theme="0" tint="-0.499984740745262"/>
      </top>
      <bottom style="double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double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 style="medium">
        <color theme="0" tint="-0.499984740745262"/>
      </right>
      <top style="hair">
        <color theme="0" tint="-0.499984740745262"/>
      </top>
      <bottom/>
      <diagonal/>
    </border>
    <border>
      <left style="medium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medium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/>
      <diagonal/>
    </border>
    <border>
      <left style="medium">
        <color theme="0" tint="-0.499984740745262"/>
      </left>
      <right/>
      <top style="hair">
        <color theme="0" tint="-0.499984740745262"/>
      </top>
      <bottom style="medium">
        <color theme="0" tint="-0.499984740745262"/>
      </bottom>
      <diagonal/>
    </border>
    <border>
      <left/>
      <right/>
      <top style="hair">
        <color theme="0" tint="-0.499984740745262"/>
      </top>
      <bottom style="medium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medium">
        <color theme="0" tint="-0.499984740745262"/>
      </bottom>
      <diagonal/>
    </border>
    <border>
      <left style="hair">
        <color theme="0" tint="-0.499984740745262"/>
      </left>
      <right/>
      <top/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medium">
        <color theme="0" tint="-0.499984740745262"/>
      </top>
      <bottom style="double">
        <color theme="0" tint="-0.499984740745262"/>
      </bottom>
      <diagonal/>
    </border>
    <border>
      <left style="hair">
        <color theme="0" tint="-0.499984740745262"/>
      </left>
      <right/>
      <top style="medium">
        <color theme="0" tint="-0.499984740745262"/>
      </top>
      <bottom style="double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double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double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double">
        <color theme="0" tint="-0.499984740745262"/>
      </bottom>
      <diagonal/>
    </border>
    <border>
      <left/>
      <right style="hair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/>
      <bottom style="hair">
        <color theme="0" tint="-0.499984740745262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41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5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7" fillId="2" borderId="0" xfId="1" applyFont="1" applyFill="1" applyBorder="1" applyAlignment="1">
      <alignment horizontal="center" vertical="center" shrinkToFit="1"/>
    </xf>
    <xf numFmtId="0" fontId="12" fillId="2" borderId="0" xfId="1" applyFont="1" applyFill="1" applyAlignment="1">
      <alignment vertical="center"/>
    </xf>
    <xf numFmtId="0" fontId="8" fillId="2" borderId="8" xfId="1" applyFont="1" applyFill="1" applyBorder="1" applyAlignment="1">
      <alignment horizontal="center" vertical="center" shrinkToFit="1"/>
    </xf>
    <xf numFmtId="0" fontId="8" fillId="2" borderId="8" xfId="1" applyFont="1" applyFill="1" applyBorder="1" applyAlignment="1">
      <alignment horizontal="left" vertical="center"/>
    </xf>
    <xf numFmtId="0" fontId="7" fillId="2" borderId="0" xfId="1" applyFont="1" applyFill="1" applyBorder="1" applyAlignment="1">
      <alignment horizontal="center" shrinkToFit="1"/>
    </xf>
    <xf numFmtId="0" fontId="6" fillId="2" borderId="0" xfId="1" applyFont="1" applyFill="1" applyAlignment="1">
      <alignment horizontal="left"/>
    </xf>
    <xf numFmtId="49" fontId="10" fillId="2" borderId="0" xfId="1" applyNumberFormat="1" applyFont="1" applyFill="1" applyAlignment="1">
      <alignment vertical="top"/>
    </xf>
    <xf numFmtId="0" fontId="10" fillId="2" borderId="0" xfId="1" applyFont="1" applyFill="1" applyAlignment="1"/>
    <xf numFmtId="0" fontId="10" fillId="2" borderId="0" xfId="1" applyFont="1" applyFill="1" applyBorder="1" applyAlignment="1">
      <alignment horizontal="center" shrinkToFit="1"/>
    </xf>
    <xf numFmtId="0" fontId="10" fillId="2" borderId="0" xfId="1" applyFont="1" applyFill="1" applyAlignment="1">
      <alignment horizontal="left"/>
    </xf>
    <xf numFmtId="49" fontId="10" fillId="2" borderId="0" xfId="1" applyNumberFormat="1" applyFont="1" applyFill="1" applyBorder="1" applyAlignment="1">
      <alignment vertical="top"/>
    </xf>
    <xf numFmtId="0" fontId="15" fillId="2" borderId="0" xfId="2" applyFill="1" applyAlignment="1" applyProtection="1">
      <alignment horizontal="center" vertical="center"/>
    </xf>
    <xf numFmtId="0" fontId="10" fillId="2" borderId="0" xfId="1" applyFont="1" applyFill="1" applyBorder="1" applyAlignment="1">
      <alignment horizontal="left" vertical="top"/>
    </xf>
    <xf numFmtId="0" fontId="18" fillId="2" borderId="0" xfId="1" applyFont="1" applyFill="1" applyAlignment="1">
      <alignment horizontal="left" shrinkToFit="1"/>
    </xf>
    <xf numFmtId="0" fontId="10" fillId="2" borderId="11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left" vertical="center"/>
    </xf>
    <xf numFmtId="0" fontId="10" fillId="2" borderId="0" xfId="1" applyFont="1" applyFill="1" applyAlignment="1">
      <alignment horizontal="left" vertical="center"/>
    </xf>
    <xf numFmtId="0" fontId="10" fillId="2" borderId="16" xfId="1" applyFont="1" applyFill="1" applyBorder="1" applyAlignment="1">
      <alignment horizontal="left" vertical="center"/>
    </xf>
    <xf numFmtId="0" fontId="10" fillId="2" borderId="18" xfId="1" applyFont="1" applyFill="1" applyBorder="1" applyAlignment="1">
      <alignment horizontal="left" vertical="center"/>
    </xf>
    <xf numFmtId="177" fontId="10" fillId="2" borderId="22" xfId="1" applyNumberFormat="1" applyFont="1" applyFill="1" applyBorder="1" applyAlignment="1">
      <alignment horizontal="center" vertical="center"/>
    </xf>
    <xf numFmtId="0" fontId="10" fillId="2" borderId="36" xfId="1" applyFont="1" applyFill="1" applyBorder="1" applyAlignment="1">
      <alignment horizontal="center" vertical="center"/>
    </xf>
    <xf numFmtId="0" fontId="10" fillId="2" borderId="37" xfId="1" applyFont="1" applyFill="1" applyBorder="1" applyAlignment="1">
      <alignment horizontal="center" vertical="center"/>
    </xf>
    <xf numFmtId="180" fontId="10" fillId="2" borderId="0" xfId="1" applyNumberFormat="1" applyFont="1" applyFill="1" applyAlignment="1">
      <alignment horizontal="left" vertical="center" shrinkToFit="1"/>
    </xf>
    <xf numFmtId="180" fontId="10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shrinkToFit="1"/>
    </xf>
    <xf numFmtId="179" fontId="10" fillId="2" borderId="0" xfId="1" applyNumberFormat="1" applyFont="1" applyFill="1" applyAlignment="1">
      <alignment horizontal="left" vertical="center" shrinkToFit="1"/>
    </xf>
    <xf numFmtId="179" fontId="10" fillId="2" borderId="0" xfId="1" applyNumberFormat="1" applyFont="1" applyFill="1" applyAlignment="1">
      <alignment horizontal="left" vertical="center"/>
    </xf>
    <xf numFmtId="43" fontId="10" fillId="2" borderId="0" xfId="1" applyNumberFormat="1" applyFont="1" applyFill="1" applyAlignment="1">
      <alignment horizontal="left" vertical="center"/>
    </xf>
    <xf numFmtId="9" fontId="20" fillId="4" borderId="49" xfId="4" applyFont="1" applyFill="1" applyBorder="1" applyAlignment="1">
      <alignment vertical="center"/>
    </xf>
    <xf numFmtId="0" fontId="10" fillId="2" borderId="58" xfId="1" applyFont="1" applyFill="1" applyBorder="1" applyAlignment="1">
      <alignment horizontal="center" vertical="center" shrinkToFit="1"/>
    </xf>
    <xf numFmtId="41" fontId="10" fillId="2" borderId="0" xfId="3" applyFont="1" applyFill="1" applyAlignment="1">
      <alignment horizontal="left" vertical="center" shrinkToFit="1"/>
    </xf>
    <xf numFmtId="0" fontId="10" fillId="2" borderId="45" xfId="1" applyFont="1" applyFill="1" applyBorder="1" applyAlignment="1">
      <alignment horizontal="center" vertical="center" shrinkToFit="1"/>
    </xf>
    <xf numFmtId="41" fontId="10" fillId="2" borderId="0" xfId="3" applyFont="1" applyFill="1" applyAlignment="1">
      <alignment horizontal="left" vertical="center"/>
    </xf>
    <xf numFmtId="0" fontId="10" fillId="0" borderId="0" xfId="1" applyFont="1" applyFill="1" applyAlignment="1">
      <alignment horizontal="left" vertical="center"/>
    </xf>
    <xf numFmtId="0" fontId="10" fillId="0" borderId="67" xfId="1" applyFont="1" applyFill="1" applyBorder="1" applyAlignment="1">
      <alignment horizontal="center" vertical="center" shrinkToFit="1"/>
    </xf>
    <xf numFmtId="41" fontId="10" fillId="0" borderId="67" xfId="3" applyFont="1" applyFill="1" applyBorder="1" applyAlignment="1">
      <alignment horizontal="center" vertical="center" shrinkToFit="1"/>
    </xf>
    <xf numFmtId="179" fontId="10" fillId="0" borderId="67" xfId="1" applyNumberFormat="1" applyFont="1" applyFill="1" applyBorder="1" applyAlignment="1">
      <alignment horizontal="center" vertical="center" shrinkToFit="1"/>
    </xf>
    <xf numFmtId="180" fontId="20" fillId="2" borderId="0" xfId="1" applyNumberFormat="1" applyFont="1" applyFill="1" applyAlignment="1">
      <alignment horizontal="left" vertical="center"/>
    </xf>
    <xf numFmtId="0" fontId="21" fillId="2" borderId="0" xfId="1" applyFont="1" applyFill="1" applyBorder="1" applyAlignment="1">
      <alignment horizontal="left" vertical="center"/>
    </xf>
    <xf numFmtId="0" fontId="22" fillId="2" borderId="0" xfId="1" applyFont="1" applyFill="1" applyBorder="1" applyAlignment="1">
      <alignment horizontal="left" vertical="center"/>
    </xf>
    <xf numFmtId="0" fontId="22" fillId="2" borderId="0" xfId="1" applyFont="1" applyFill="1" applyBorder="1" applyAlignment="1">
      <alignment vertical="center" shrinkToFit="1"/>
    </xf>
    <xf numFmtId="0" fontId="22" fillId="2" borderId="0" xfId="1" applyFont="1" applyFill="1" applyAlignment="1">
      <alignment horizontal="left" vertical="center"/>
    </xf>
    <xf numFmtId="0" fontId="9" fillId="2" borderId="73" xfId="1" applyFont="1" applyFill="1" applyBorder="1" applyAlignment="1">
      <alignment horizontal="center" vertical="center"/>
    </xf>
    <xf numFmtId="183" fontId="10" fillId="2" borderId="76" xfId="1" applyNumberFormat="1" applyFont="1" applyFill="1" applyBorder="1" applyAlignment="1">
      <alignment horizontal="center" vertical="center" shrinkToFit="1"/>
    </xf>
    <xf numFmtId="0" fontId="10" fillId="2" borderId="32" xfId="1" applyFont="1" applyFill="1" applyBorder="1" applyAlignment="1">
      <alignment horizontal="center" vertical="center"/>
    </xf>
    <xf numFmtId="41" fontId="10" fillId="2" borderId="33" xfId="3" applyFont="1" applyFill="1" applyBorder="1" applyAlignment="1">
      <alignment horizontal="right" vertical="center"/>
    </xf>
    <xf numFmtId="0" fontId="10" fillId="2" borderId="41" xfId="1" applyFont="1" applyFill="1" applyBorder="1" applyAlignment="1">
      <alignment horizontal="center" vertical="center"/>
    </xf>
    <xf numFmtId="41" fontId="10" fillId="2" borderId="39" xfId="3" applyFont="1" applyFill="1" applyBorder="1" applyAlignment="1">
      <alignment horizontal="right" vertical="center"/>
    </xf>
    <xf numFmtId="0" fontId="10" fillId="6" borderId="51" xfId="1" applyFont="1" applyFill="1" applyBorder="1" applyAlignment="1">
      <alignment horizontal="center" vertical="center"/>
    </xf>
    <xf numFmtId="41" fontId="10" fillId="6" borderId="52" xfId="3" applyFont="1" applyFill="1" applyBorder="1" applyAlignment="1">
      <alignment horizontal="right" vertical="center" shrinkToFit="1"/>
    </xf>
    <xf numFmtId="184" fontId="10" fillId="2" borderId="0" xfId="1" applyNumberFormat="1" applyFont="1" applyFill="1" applyAlignment="1">
      <alignment horizontal="left" vertical="center"/>
    </xf>
    <xf numFmtId="0" fontId="10" fillId="0" borderId="0" xfId="1" applyFont="1" applyFill="1" applyBorder="1" applyAlignment="1">
      <alignment horizontal="center" vertical="center"/>
    </xf>
    <xf numFmtId="184" fontId="10" fillId="0" borderId="0" xfId="1" applyNumberFormat="1" applyFont="1" applyFill="1" applyBorder="1" applyAlignment="1">
      <alignment horizontal="right" vertical="center" shrinkToFit="1"/>
    </xf>
    <xf numFmtId="41" fontId="10" fillId="0" borderId="0" xfId="3" applyFont="1" applyFill="1" applyBorder="1" applyAlignment="1">
      <alignment horizontal="right" vertical="center" shrinkToFit="1"/>
    </xf>
    <xf numFmtId="181" fontId="10" fillId="0" borderId="0" xfId="1" applyNumberFormat="1" applyFont="1" applyFill="1" applyBorder="1" applyAlignment="1">
      <alignment horizontal="center" vertical="center" shrinkToFit="1"/>
    </xf>
    <xf numFmtId="184" fontId="5" fillId="2" borderId="0" xfId="1" applyNumberFormat="1" applyFont="1" applyFill="1" applyAlignment="1">
      <alignment horizontal="left" vertical="center"/>
    </xf>
    <xf numFmtId="0" fontId="24" fillId="2" borderId="0" xfId="1" applyFont="1" applyFill="1" applyBorder="1" applyAlignment="1">
      <alignment horizontal="left" vertical="center"/>
    </xf>
    <xf numFmtId="0" fontId="14" fillId="2" borderId="0" xfId="1" applyFont="1" applyFill="1" applyAlignment="1">
      <alignment horizontal="left" vertical="center"/>
    </xf>
    <xf numFmtId="0" fontId="5" fillId="2" borderId="0" xfId="1" applyFont="1" applyFill="1" applyBorder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29" fillId="2" borderId="0" xfId="1" applyFont="1" applyFill="1" applyAlignment="1">
      <alignment horizontal="left" vertical="center"/>
    </xf>
    <xf numFmtId="0" fontId="30" fillId="2" borderId="0" xfId="1" applyFont="1" applyFill="1" applyAlignment="1">
      <alignment horizontal="left" vertical="center"/>
    </xf>
    <xf numFmtId="0" fontId="31" fillId="2" borderId="0" xfId="1" applyFont="1" applyFill="1" applyAlignment="1">
      <alignment horizontal="left" vertical="center"/>
    </xf>
    <xf numFmtId="0" fontId="8" fillId="2" borderId="0" xfId="1" applyFont="1" applyFill="1" applyAlignment="1">
      <alignment horizontal="left" vertical="center"/>
    </xf>
    <xf numFmtId="185" fontId="6" fillId="2" borderId="0" xfId="1" applyNumberFormat="1" applyFont="1" applyFill="1" applyAlignment="1">
      <alignment horizontal="center" vertical="center"/>
    </xf>
    <xf numFmtId="0" fontId="25" fillId="2" borderId="16" xfId="1" applyFont="1" applyFill="1" applyBorder="1" applyAlignment="1">
      <alignment horizontal="left" vertical="center" wrapText="1" indent="1"/>
    </xf>
    <xf numFmtId="0" fontId="25" fillId="2" borderId="80" xfId="1" applyFont="1" applyFill="1" applyBorder="1" applyAlignment="1">
      <alignment horizontal="left" vertical="center" wrapText="1" indent="1"/>
    </xf>
    <xf numFmtId="0" fontId="25" fillId="2" borderId="17" xfId="1" applyFont="1" applyFill="1" applyBorder="1" applyAlignment="1">
      <alignment horizontal="left" vertical="center" wrapText="1" indent="1"/>
    </xf>
    <xf numFmtId="0" fontId="32" fillId="2" borderId="0" xfId="1" applyFont="1" applyFill="1" applyAlignment="1">
      <alignment horizontal="left" vertical="center"/>
    </xf>
    <xf numFmtId="185" fontId="6" fillId="2" borderId="0" xfId="1" applyNumberFormat="1" applyFont="1" applyFill="1" applyAlignment="1">
      <alignment horizontal="center" vertical="center"/>
    </xf>
    <xf numFmtId="0" fontId="29" fillId="2" borderId="0" xfId="1" applyFont="1" applyFill="1" applyAlignment="1">
      <alignment horizontal="left" vertical="center" shrinkToFit="1"/>
    </xf>
    <xf numFmtId="0" fontId="5" fillId="2" borderId="0" xfId="1" applyFont="1" applyFill="1" applyAlignment="1">
      <alignment horizontal="left" vertical="center" shrinkToFit="1"/>
    </xf>
    <xf numFmtId="0" fontId="23" fillId="2" borderId="0" xfId="1" applyFont="1" applyFill="1" applyBorder="1" applyAlignment="1">
      <alignment horizontal="left" vertical="center"/>
    </xf>
    <xf numFmtId="41" fontId="10" fillId="6" borderId="66" xfId="3" applyFont="1" applyFill="1" applyBorder="1" applyAlignment="1">
      <alignment horizontal="center" vertical="center" shrinkToFit="1"/>
    </xf>
    <xf numFmtId="41" fontId="10" fillId="6" borderId="65" xfId="3" applyFont="1" applyFill="1" applyBorder="1" applyAlignment="1">
      <alignment horizontal="center" vertical="center" shrinkToFit="1"/>
    </xf>
    <xf numFmtId="41" fontId="10" fillId="2" borderId="42" xfId="3" applyFont="1" applyFill="1" applyBorder="1" applyAlignment="1">
      <alignment horizontal="center" vertical="center" shrinkToFit="1"/>
    </xf>
    <xf numFmtId="41" fontId="10" fillId="2" borderId="37" xfId="3" applyFont="1" applyFill="1" applyBorder="1" applyAlignment="1">
      <alignment horizontal="center" vertical="center" shrinkToFit="1"/>
    </xf>
    <xf numFmtId="41" fontId="10" fillId="0" borderId="42" xfId="3" applyFont="1" applyFill="1" applyBorder="1" applyAlignment="1">
      <alignment horizontal="center" vertical="center" shrinkToFit="1"/>
    </xf>
    <xf numFmtId="41" fontId="10" fillId="0" borderId="37" xfId="3" applyFont="1" applyFill="1" applyBorder="1" applyAlignment="1">
      <alignment horizontal="center" vertical="center" shrinkToFit="1"/>
    </xf>
    <xf numFmtId="41" fontId="10" fillId="2" borderId="35" xfId="3" applyFont="1" applyFill="1" applyBorder="1" applyAlignment="1">
      <alignment horizontal="center" vertical="center" shrinkToFit="1"/>
    </xf>
    <xf numFmtId="41" fontId="10" fillId="2" borderId="78" xfId="3" applyFont="1" applyFill="1" applyBorder="1" applyAlignment="1">
      <alignment horizontal="center" vertical="center" shrinkToFit="1"/>
    </xf>
    <xf numFmtId="183" fontId="10" fillId="2" borderId="74" xfId="1" applyNumberFormat="1" applyFont="1" applyFill="1" applyBorder="1" applyAlignment="1">
      <alignment horizontal="center" vertical="center" shrinkToFit="1"/>
    </xf>
    <xf numFmtId="183" fontId="10" fillId="2" borderId="75" xfId="1" applyNumberFormat="1" applyFont="1" applyFill="1" applyBorder="1" applyAlignment="1">
      <alignment horizontal="center" vertical="center" shrinkToFit="1"/>
    </xf>
    <xf numFmtId="49" fontId="10" fillId="2" borderId="76" xfId="1" applyNumberFormat="1" applyFont="1" applyFill="1" applyBorder="1" applyAlignment="1">
      <alignment horizontal="center" vertical="center" shrinkToFit="1"/>
    </xf>
    <xf numFmtId="49" fontId="10" fillId="2" borderId="77" xfId="1" applyNumberFormat="1" applyFont="1" applyFill="1" applyBorder="1" applyAlignment="1">
      <alignment horizontal="center" vertical="center" shrinkToFit="1"/>
    </xf>
    <xf numFmtId="182" fontId="10" fillId="2" borderId="74" xfId="1" applyNumberFormat="1" applyFont="1" applyFill="1" applyBorder="1" applyAlignment="1">
      <alignment horizontal="center" vertical="center" shrinkToFit="1"/>
    </xf>
    <xf numFmtId="182" fontId="10" fillId="2" borderId="75" xfId="1" applyNumberFormat="1" applyFont="1" applyFill="1" applyBorder="1" applyAlignment="1">
      <alignment horizontal="center" vertical="center" shrinkToFit="1"/>
    </xf>
    <xf numFmtId="0" fontId="12" fillId="3" borderId="63" xfId="1" applyFont="1" applyFill="1" applyBorder="1" applyAlignment="1">
      <alignment horizontal="center" vertical="center" shrinkToFit="1"/>
    </xf>
    <xf numFmtId="0" fontId="12" fillId="3" borderId="64" xfId="1" applyFont="1" applyFill="1" applyBorder="1" applyAlignment="1">
      <alignment horizontal="center" vertical="center" shrinkToFit="1"/>
    </xf>
    <xf numFmtId="0" fontId="12" fillId="3" borderId="65" xfId="1" applyFont="1" applyFill="1" applyBorder="1" applyAlignment="1">
      <alignment horizontal="center" vertical="center" shrinkToFit="1"/>
    </xf>
    <xf numFmtId="41" fontId="12" fillId="3" borderId="52" xfId="3" applyFont="1" applyFill="1" applyBorder="1" applyAlignment="1">
      <alignment horizontal="center" vertical="center" shrinkToFit="1"/>
    </xf>
    <xf numFmtId="179" fontId="12" fillId="3" borderId="52" xfId="1" applyNumberFormat="1" applyFont="1" applyFill="1" applyBorder="1" applyAlignment="1">
      <alignment horizontal="center" vertical="center" shrinkToFit="1"/>
    </xf>
    <xf numFmtId="179" fontId="12" fillId="3" borderId="66" xfId="1" applyNumberFormat="1" applyFont="1" applyFill="1" applyBorder="1" applyAlignment="1">
      <alignment horizontal="center" vertical="center" shrinkToFit="1"/>
    </xf>
    <xf numFmtId="179" fontId="12" fillId="3" borderId="53" xfId="1" applyNumberFormat="1" applyFont="1" applyFill="1" applyBorder="1" applyAlignment="1">
      <alignment horizontal="center" vertical="center" shrinkToFit="1"/>
    </xf>
    <xf numFmtId="0" fontId="7" fillId="5" borderId="68" xfId="1" applyFont="1" applyFill="1" applyBorder="1" applyAlignment="1">
      <alignment horizontal="center" vertical="center" shrinkToFit="1"/>
    </xf>
    <xf numFmtId="0" fontId="7" fillId="5" borderId="67" xfId="1" applyFont="1" applyFill="1" applyBorder="1" applyAlignment="1">
      <alignment horizontal="center" vertical="center" shrinkToFit="1"/>
    </xf>
    <xf numFmtId="0" fontId="7" fillId="5" borderId="69" xfId="1" applyFont="1" applyFill="1" applyBorder="1" applyAlignment="1">
      <alignment horizontal="center" vertical="center" shrinkToFit="1"/>
    </xf>
    <xf numFmtId="41" fontId="7" fillId="5" borderId="70" xfId="3" applyFont="1" applyFill="1" applyBorder="1" applyAlignment="1">
      <alignment horizontal="center" vertical="center" shrinkToFit="1"/>
    </xf>
    <xf numFmtId="41" fontId="7" fillId="5" borderId="71" xfId="3" applyFont="1" applyFill="1" applyBorder="1" applyAlignment="1">
      <alignment horizontal="center" vertical="center" shrinkToFit="1"/>
    </xf>
    <xf numFmtId="41" fontId="7" fillId="5" borderId="72" xfId="3" applyFont="1" applyFill="1" applyBorder="1" applyAlignment="1">
      <alignment horizontal="center" vertical="center" shrinkToFit="1"/>
    </xf>
    <xf numFmtId="41" fontId="10" fillId="2" borderId="56" xfId="3" applyFont="1" applyFill="1" applyBorder="1" applyAlignment="1">
      <alignment horizontal="center" vertical="center" shrinkToFit="1"/>
    </xf>
    <xf numFmtId="179" fontId="10" fillId="2" borderId="56" xfId="1" applyNumberFormat="1" applyFont="1" applyFill="1" applyBorder="1" applyAlignment="1">
      <alignment horizontal="center" vertical="center" shrinkToFit="1"/>
    </xf>
    <xf numFmtId="179" fontId="10" fillId="2" borderId="57" xfId="1" applyNumberFormat="1" applyFont="1" applyFill="1" applyBorder="1" applyAlignment="1">
      <alignment horizontal="center" vertical="center" shrinkToFit="1"/>
    </xf>
    <xf numFmtId="179" fontId="10" fillId="2" borderId="59" xfId="1" applyNumberFormat="1" applyFont="1" applyFill="1" applyBorder="1" applyAlignment="1">
      <alignment horizontal="center" vertical="center" shrinkToFit="1"/>
    </xf>
    <xf numFmtId="0" fontId="10" fillId="0" borderId="46" xfId="1" applyFont="1" applyFill="1" applyBorder="1" applyAlignment="1">
      <alignment horizontal="center" vertical="center" shrinkToFit="1"/>
    </xf>
    <xf numFmtId="0" fontId="10" fillId="0" borderId="44" xfId="1" applyFont="1" applyFill="1" applyBorder="1" applyAlignment="1">
      <alignment horizontal="center" vertical="center" shrinkToFit="1"/>
    </xf>
    <xf numFmtId="0" fontId="10" fillId="0" borderId="45" xfId="1" applyFont="1" applyFill="1" applyBorder="1" applyAlignment="1">
      <alignment horizontal="center" vertical="center" shrinkToFit="1"/>
    </xf>
    <xf numFmtId="3" fontId="10" fillId="2" borderId="46" xfId="1" applyNumberFormat="1" applyFont="1" applyFill="1" applyBorder="1" applyAlignment="1">
      <alignment horizontal="center" vertical="center" shrinkToFit="1"/>
    </xf>
    <xf numFmtId="0" fontId="10" fillId="2" borderId="44" xfId="1" applyFont="1" applyFill="1" applyBorder="1" applyAlignment="1">
      <alignment horizontal="center" vertical="center" shrinkToFit="1"/>
    </xf>
    <xf numFmtId="181" fontId="10" fillId="2" borderId="46" xfId="1" applyNumberFormat="1" applyFont="1" applyFill="1" applyBorder="1" applyAlignment="1">
      <alignment horizontal="center" vertical="center" shrinkToFit="1"/>
    </xf>
    <xf numFmtId="181" fontId="10" fillId="2" borderId="44" xfId="1" applyNumberFormat="1" applyFont="1" applyFill="1" applyBorder="1" applyAlignment="1">
      <alignment horizontal="center" vertical="center" shrinkToFit="1"/>
    </xf>
    <xf numFmtId="41" fontId="10" fillId="2" borderId="46" xfId="3" applyFont="1" applyFill="1" applyBorder="1" applyAlignment="1">
      <alignment horizontal="center" vertical="center" shrinkToFit="1"/>
    </xf>
    <xf numFmtId="41" fontId="10" fillId="2" borderId="45" xfId="3" applyFont="1" applyFill="1" applyBorder="1" applyAlignment="1">
      <alignment horizontal="center" vertical="center" shrinkToFit="1"/>
    </xf>
    <xf numFmtId="41" fontId="10" fillId="2" borderId="61" xfId="3" applyFont="1" applyFill="1" applyBorder="1" applyAlignment="1">
      <alignment horizontal="center" vertical="center" shrinkToFit="1"/>
    </xf>
    <xf numFmtId="179" fontId="10" fillId="2" borderId="61" xfId="1" applyNumberFormat="1" applyFont="1" applyFill="1" applyBorder="1" applyAlignment="1">
      <alignment horizontal="center" vertical="center" shrinkToFit="1"/>
    </xf>
    <xf numFmtId="179" fontId="10" fillId="2" borderId="46" xfId="1" applyNumberFormat="1" applyFont="1" applyFill="1" applyBorder="1" applyAlignment="1">
      <alignment horizontal="center" vertical="center" shrinkToFit="1"/>
    </xf>
    <xf numFmtId="179" fontId="10" fillId="2" borderId="62" xfId="1" applyNumberFormat="1" applyFont="1" applyFill="1" applyBorder="1" applyAlignment="1">
      <alignment horizontal="center" vertical="center" shrinkToFit="1"/>
    </xf>
    <xf numFmtId="0" fontId="12" fillId="3" borderId="51" xfId="1" applyFont="1" applyFill="1" applyBorder="1" applyAlignment="1">
      <alignment horizontal="center" vertical="center" wrapText="1" shrinkToFit="1"/>
    </xf>
    <xf numFmtId="0" fontId="12" fillId="3" borderId="52" xfId="1" applyFont="1" applyFill="1" applyBorder="1" applyAlignment="1">
      <alignment horizontal="center" vertical="center" wrapText="1" shrinkToFit="1"/>
    </xf>
    <xf numFmtId="41" fontId="12" fillId="3" borderId="53" xfId="3" applyFont="1" applyFill="1" applyBorder="1" applyAlignment="1">
      <alignment horizontal="center" vertical="center" shrinkToFit="1"/>
    </xf>
    <xf numFmtId="0" fontId="10" fillId="2" borderId="0" xfId="1" applyFont="1" applyFill="1" applyBorder="1" applyAlignment="1">
      <alignment horizontal="center" vertical="center" wrapText="1" shrinkToFit="1"/>
    </xf>
    <xf numFmtId="0" fontId="10" fillId="3" borderId="54" xfId="1" applyFont="1" applyFill="1" applyBorder="1" applyAlignment="1">
      <alignment horizontal="center" vertical="center" shrinkToFit="1"/>
    </xf>
    <xf numFmtId="0" fontId="10" fillId="3" borderId="55" xfId="1" applyFont="1" applyFill="1" applyBorder="1" applyAlignment="1">
      <alignment horizontal="center" vertical="center" shrinkToFit="1"/>
    </xf>
    <xf numFmtId="0" fontId="10" fillId="3" borderId="60" xfId="1" applyFont="1" applyFill="1" applyBorder="1" applyAlignment="1">
      <alignment horizontal="center" vertical="center" shrinkToFit="1"/>
    </xf>
    <xf numFmtId="0" fontId="10" fillId="3" borderId="0" xfId="1" applyFont="1" applyFill="1" applyBorder="1" applyAlignment="1">
      <alignment horizontal="center" vertical="center" shrinkToFit="1"/>
    </xf>
    <xf numFmtId="0" fontId="10" fillId="2" borderId="56" xfId="1" applyFont="1" applyFill="1" applyBorder="1" applyAlignment="1">
      <alignment horizontal="center" vertical="center" shrinkToFit="1"/>
    </xf>
    <xf numFmtId="181" fontId="10" fillId="2" borderId="56" xfId="1" applyNumberFormat="1" applyFont="1" applyFill="1" applyBorder="1" applyAlignment="1">
      <alignment horizontal="center" vertical="center" shrinkToFit="1"/>
    </xf>
    <xf numFmtId="0" fontId="10" fillId="2" borderId="57" xfId="1" applyFont="1" applyFill="1" applyBorder="1" applyAlignment="1">
      <alignment horizontal="center" vertical="center" shrinkToFit="1"/>
    </xf>
    <xf numFmtId="181" fontId="10" fillId="2" borderId="57" xfId="1" applyNumberFormat="1" applyFont="1" applyFill="1" applyBorder="1" applyAlignment="1">
      <alignment horizontal="center" vertical="center" shrinkToFit="1"/>
    </xf>
    <xf numFmtId="0" fontId="10" fillId="4" borderId="43" xfId="1" applyFont="1" applyFill="1" applyBorder="1" applyAlignment="1">
      <alignment horizontal="center" vertical="center" wrapText="1" shrinkToFit="1"/>
    </xf>
    <xf numFmtId="0" fontId="10" fillId="4" borderId="44" xfId="1" applyFont="1" applyFill="1" applyBorder="1" applyAlignment="1">
      <alignment horizontal="center" vertical="center" wrapText="1" shrinkToFit="1"/>
    </xf>
    <xf numFmtId="0" fontId="10" fillId="4" borderId="45" xfId="1" applyFont="1" applyFill="1" applyBorder="1" applyAlignment="1">
      <alignment horizontal="center" vertical="center" wrapText="1" shrinkToFit="1"/>
    </xf>
    <xf numFmtId="41" fontId="10" fillId="4" borderId="46" xfId="3" applyFont="1" applyFill="1" applyBorder="1" applyAlignment="1">
      <alignment horizontal="center" vertical="center" shrinkToFit="1"/>
    </xf>
    <xf numFmtId="41" fontId="10" fillId="4" borderId="44" xfId="3" applyFont="1" applyFill="1" applyBorder="1" applyAlignment="1">
      <alignment horizontal="center" vertical="center" shrinkToFit="1"/>
    </xf>
    <xf numFmtId="41" fontId="10" fillId="4" borderId="45" xfId="3" applyFont="1" applyFill="1" applyBorder="1" applyAlignment="1">
      <alignment horizontal="center" vertical="center" shrinkToFit="1"/>
    </xf>
    <xf numFmtId="179" fontId="10" fillId="4" borderId="46" xfId="1" applyNumberFormat="1" applyFont="1" applyFill="1" applyBorder="1" applyAlignment="1">
      <alignment horizontal="center" vertical="center"/>
    </xf>
    <xf numFmtId="179" fontId="10" fillId="4" borderId="44" xfId="1" applyNumberFormat="1" applyFont="1" applyFill="1" applyBorder="1" applyAlignment="1">
      <alignment horizontal="center" vertical="center"/>
    </xf>
    <xf numFmtId="179" fontId="10" fillId="4" borderId="45" xfId="1" applyNumberFormat="1" applyFont="1" applyFill="1" applyBorder="1" applyAlignment="1">
      <alignment horizontal="center" vertical="center"/>
    </xf>
    <xf numFmtId="179" fontId="10" fillId="4" borderId="47" xfId="1" applyNumberFormat="1" applyFont="1" applyFill="1" applyBorder="1" applyAlignment="1">
      <alignment horizontal="center" vertical="center"/>
    </xf>
    <xf numFmtId="0" fontId="10" fillId="4" borderId="48" xfId="1" applyFont="1" applyFill="1" applyBorder="1" applyAlignment="1">
      <alignment horizontal="center" vertical="center" wrapText="1" shrinkToFit="1"/>
    </xf>
    <xf numFmtId="0" fontId="10" fillId="4" borderId="49" xfId="1" applyFont="1" applyFill="1" applyBorder="1" applyAlignment="1">
      <alignment horizontal="center" vertical="center" wrapText="1" shrinkToFit="1"/>
    </xf>
    <xf numFmtId="0" fontId="10" fillId="4" borderId="37" xfId="1" applyFont="1" applyFill="1" applyBorder="1" applyAlignment="1">
      <alignment horizontal="center" vertical="center" wrapText="1" shrinkToFit="1"/>
    </xf>
    <xf numFmtId="0" fontId="9" fillId="4" borderId="42" xfId="1" applyFont="1" applyFill="1" applyBorder="1" applyAlignment="1">
      <alignment horizontal="center" vertical="center"/>
    </xf>
    <xf numFmtId="0" fontId="9" fillId="4" borderId="49" xfId="1" applyFont="1" applyFill="1" applyBorder="1" applyAlignment="1">
      <alignment horizontal="center" vertical="center"/>
    </xf>
    <xf numFmtId="0" fontId="10" fillId="4" borderId="49" xfId="1" applyFont="1" applyFill="1" applyBorder="1" applyAlignment="1">
      <alignment horizontal="center" vertical="center"/>
    </xf>
    <xf numFmtId="41" fontId="20" fillId="4" borderId="49" xfId="3" applyFont="1" applyFill="1" applyBorder="1" applyAlignment="1">
      <alignment horizontal="right" vertical="center" shrinkToFit="1"/>
    </xf>
    <xf numFmtId="41" fontId="20" fillId="4" borderId="50" xfId="3" applyFont="1" applyFill="1" applyBorder="1" applyAlignment="1">
      <alignment horizontal="right" vertical="center" shrinkToFit="1"/>
    </xf>
    <xf numFmtId="179" fontId="10" fillId="2" borderId="39" xfId="1" applyNumberFormat="1" applyFont="1" applyFill="1" applyBorder="1" applyAlignment="1">
      <alignment horizontal="center" vertical="center"/>
    </xf>
    <xf numFmtId="179" fontId="10" fillId="2" borderId="40" xfId="1" applyNumberFormat="1" applyFont="1" applyFill="1" applyBorder="1" applyAlignment="1">
      <alignment horizontal="center" vertical="center"/>
    </xf>
    <xf numFmtId="0" fontId="10" fillId="2" borderId="39" xfId="1" applyFont="1" applyFill="1" applyBorder="1" applyAlignment="1">
      <alignment horizontal="center" vertical="center" wrapText="1" shrinkToFit="1"/>
    </xf>
    <xf numFmtId="0" fontId="10" fillId="2" borderId="42" xfId="1" applyFont="1" applyFill="1" applyBorder="1" applyAlignment="1">
      <alignment horizontal="center" vertical="center" wrapText="1" shrinkToFit="1"/>
    </xf>
    <xf numFmtId="0" fontId="10" fillId="2" borderId="39" xfId="1" applyFont="1" applyFill="1" applyBorder="1" applyAlignment="1">
      <alignment horizontal="center" vertical="center"/>
    </xf>
    <xf numFmtId="0" fontId="10" fillId="2" borderId="42" xfId="1" applyFont="1" applyFill="1" applyBorder="1" applyAlignment="1">
      <alignment horizontal="center" vertical="center"/>
    </xf>
    <xf numFmtId="41" fontId="10" fillId="2" borderId="39" xfId="3" applyFont="1" applyFill="1" applyBorder="1" applyAlignment="1">
      <alignment horizontal="center" vertical="center" shrinkToFit="1"/>
    </xf>
    <xf numFmtId="179" fontId="10" fillId="2" borderId="42" xfId="1" applyNumberFormat="1" applyFont="1" applyFill="1" applyBorder="1" applyAlignment="1">
      <alignment horizontal="center" vertical="center"/>
    </xf>
    <xf numFmtId="0" fontId="10" fillId="3" borderId="41" xfId="1" applyFont="1" applyFill="1" applyBorder="1" applyAlignment="1">
      <alignment horizontal="center" vertical="center" wrapText="1" shrinkToFit="1"/>
    </xf>
    <xf numFmtId="0" fontId="10" fillId="3" borderId="39" xfId="1" applyFont="1" applyFill="1" applyBorder="1" applyAlignment="1">
      <alignment horizontal="center" vertical="center" wrapText="1" shrinkToFit="1"/>
    </xf>
    <xf numFmtId="178" fontId="10" fillId="2" borderId="27" xfId="1" applyNumberFormat="1" applyFont="1" applyFill="1" applyBorder="1" applyAlignment="1">
      <alignment horizontal="center" vertical="center"/>
    </xf>
    <xf numFmtId="178" fontId="10" fillId="2" borderId="28" xfId="1" applyNumberFormat="1" applyFont="1" applyFill="1" applyBorder="1" applyAlignment="1">
      <alignment horizontal="center" vertical="center"/>
    </xf>
    <xf numFmtId="178" fontId="10" fillId="2" borderId="30" xfId="1" applyNumberFormat="1" applyFont="1" applyFill="1" applyBorder="1" applyAlignment="1">
      <alignment horizontal="center" vertical="center"/>
    </xf>
    <xf numFmtId="178" fontId="10" fillId="2" borderId="31" xfId="1" applyNumberFormat="1" applyFont="1" applyFill="1" applyBorder="1" applyAlignment="1">
      <alignment horizontal="center" vertical="center"/>
    </xf>
    <xf numFmtId="0" fontId="10" fillId="3" borderId="32" xfId="1" applyFont="1" applyFill="1" applyBorder="1" applyAlignment="1">
      <alignment horizontal="center" vertical="center" shrinkToFit="1"/>
    </xf>
    <xf numFmtId="0" fontId="10" fillId="3" borderId="33" xfId="1" applyFont="1" applyFill="1" applyBorder="1" applyAlignment="1">
      <alignment horizontal="center" vertical="center" shrinkToFit="1"/>
    </xf>
    <xf numFmtId="0" fontId="10" fillId="3" borderId="41" xfId="1" applyFont="1" applyFill="1" applyBorder="1" applyAlignment="1">
      <alignment horizontal="center" vertical="center" shrinkToFit="1"/>
    </xf>
    <xf numFmtId="0" fontId="10" fillId="3" borderId="39" xfId="1" applyFont="1" applyFill="1" applyBorder="1" applyAlignment="1">
      <alignment horizontal="center" vertical="center" shrinkToFit="1"/>
    </xf>
    <xf numFmtId="0" fontId="10" fillId="2" borderId="33" xfId="1" applyFont="1" applyFill="1" applyBorder="1" applyAlignment="1">
      <alignment horizontal="center" vertical="center" wrapText="1" shrinkToFit="1"/>
    </xf>
    <xf numFmtId="0" fontId="10" fillId="2" borderId="34" xfId="1" applyFont="1" applyFill="1" applyBorder="1" applyAlignment="1">
      <alignment horizontal="center" vertical="center"/>
    </xf>
    <xf numFmtId="0" fontId="10" fillId="2" borderId="35" xfId="1" applyFont="1" applyFill="1" applyBorder="1" applyAlignment="1">
      <alignment horizontal="center" vertical="center"/>
    </xf>
    <xf numFmtId="41" fontId="10" fillId="2" borderId="33" xfId="3" applyFont="1" applyFill="1" applyBorder="1" applyAlignment="1">
      <alignment horizontal="center" vertical="center" shrinkToFit="1"/>
    </xf>
    <xf numFmtId="179" fontId="10" fillId="2" borderId="33" xfId="1" applyNumberFormat="1" applyFont="1" applyFill="1" applyBorder="1" applyAlignment="1">
      <alignment horizontal="center" vertical="center"/>
    </xf>
    <xf numFmtId="179" fontId="10" fillId="2" borderId="38" xfId="1" applyNumberFormat="1" applyFont="1" applyFill="1" applyBorder="1" applyAlignment="1">
      <alignment horizontal="center" vertical="center"/>
    </xf>
    <xf numFmtId="179" fontId="10" fillId="2" borderId="39" xfId="1" applyNumberFormat="1" applyFont="1" applyFill="1" applyBorder="1" applyAlignment="1">
      <alignment horizontal="center" vertical="center" shrinkToFit="1"/>
    </xf>
    <xf numFmtId="179" fontId="10" fillId="2" borderId="40" xfId="1" applyNumberFormat="1" applyFont="1" applyFill="1" applyBorder="1" applyAlignment="1">
      <alignment horizontal="center" vertical="center" shrinkToFit="1"/>
    </xf>
    <xf numFmtId="0" fontId="10" fillId="2" borderId="19" xfId="1" applyFont="1" applyFill="1" applyBorder="1" applyAlignment="1">
      <alignment horizontal="center" vertical="center" shrinkToFit="1"/>
    </xf>
    <xf numFmtId="0" fontId="10" fillId="2" borderId="20" xfId="1" applyFont="1" applyFill="1" applyBorder="1" applyAlignment="1">
      <alignment horizontal="center" vertical="center" shrinkToFit="1"/>
    </xf>
    <xf numFmtId="177" fontId="10" fillId="2" borderId="20" xfId="1" applyNumberFormat="1" applyFont="1" applyFill="1" applyBorder="1" applyAlignment="1">
      <alignment horizontal="center" vertical="center"/>
    </xf>
    <xf numFmtId="177" fontId="10" fillId="2" borderId="21" xfId="1" applyNumberFormat="1" applyFont="1" applyFill="1" applyBorder="1" applyAlignment="1">
      <alignment horizontal="center" vertical="center"/>
    </xf>
    <xf numFmtId="177" fontId="10" fillId="2" borderId="23" xfId="1" applyNumberFormat="1" applyFont="1" applyFill="1" applyBorder="1" applyAlignment="1">
      <alignment horizontal="center" vertical="center"/>
    </xf>
    <xf numFmtId="177" fontId="10" fillId="2" borderId="24" xfId="1" applyNumberFormat="1" applyFont="1" applyFill="1" applyBorder="1" applyAlignment="1">
      <alignment horizontal="center" vertical="center"/>
    </xf>
    <xf numFmtId="177" fontId="10" fillId="2" borderId="25" xfId="1" applyNumberFormat="1" applyFont="1" applyFill="1" applyBorder="1" applyAlignment="1">
      <alignment horizontal="center" vertical="center"/>
    </xf>
    <xf numFmtId="0" fontId="10" fillId="2" borderId="0" xfId="1" applyFont="1" applyFill="1" applyBorder="1" applyAlignment="1">
      <alignment horizontal="center" vertical="center" shrinkToFit="1"/>
    </xf>
    <xf numFmtId="0" fontId="10" fillId="2" borderId="26" xfId="1" applyFont="1" applyFill="1" applyBorder="1" applyAlignment="1">
      <alignment horizontal="center" vertical="center" shrinkToFit="1"/>
    </xf>
    <xf numFmtId="0" fontId="10" fillId="2" borderId="27" xfId="1" applyFont="1" applyFill="1" applyBorder="1" applyAlignment="1">
      <alignment horizontal="center" vertical="center" shrinkToFit="1"/>
    </xf>
    <xf numFmtId="178" fontId="10" fillId="2" borderId="29" xfId="1" applyNumberFormat="1" applyFont="1" applyFill="1" applyBorder="1" applyAlignment="1">
      <alignment horizontal="center" vertical="center"/>
    </xf>
    <xf numFmtId="0" fontId="17" fillId="2" borderId="0" xfId="2" applyFont="1" applyFill="1" applyBorder="1" applyAlignment="1" applyProtection="1">
      <alignment horizontal="left" vertical="top"/>
    </xf>
    <xf numFmtId="0" fontId="10" fillId="2" borderId="0" xfId="1" applyFont="1" applyFill="1" applyAlignment="1">
      <alignment horizontal="center" shrinkToFit="1"/>
    </xf>
    <xf numFmtId="0" fontId="14" fillId="2" borderId="0" xfId="1" applyFont="1" applyFill="1" applyAlignment="1">
      <alignment horizontal="left" shrinkToFit="1"/>
    </xf>
    <xf numFmtId="0" fontId="10" fillId="2" borderId="9" xfId="1" applyFont="1" applyFill="1" applyBorder="1" applyAlignment="1">
      <alignment horizontal="center" vertical="center" shrinkToFit="1"/>
    </xf>
    <xf numFmtId="0" fontId="10" fillId="2" borderId="10" xfId="1" applyFont="1" applyFill="1" applyBorder="1" applyAlignment="1">
      <alignment horizontal="center" vertical="center" shrinkToFit="1"/>
    </xf>
    <xf numFmtId="0" fontId="10" fillId="2" borderId="12" xfId="1" applyFont="1" applyFill="1" applyBorder="1" applyAlignment="1">
      <alignment horizontal="left" vertical="center"/>
    </xf>
    <xf numFmtId="0" fontId="10" fillId="2" borderId="10" xfId="1" applyFont="1" applyFill="1" applyBorder="1" applyAlignment="1">
      <alignment horizontal="left" vertical="center"/>
    </xf>
    <xf numFmtId="0" fontId="10" fillId="2" borderId="11" xfId="1" applyFont="1" applyFill="1" applyBorder="1" applyAlignment="1">
      <alignment horizontal="left" vertical="center"/>
    </xf>
    <xf numFmtId="0" fontId="10" fillId="2" borderId="14" xfId="1" applyFont="1" applyFill="1" applyBorder="1" applyAlignment="1">
      <alignment horizontal="center" vertical="center" shrinkToFit="1"/>
    </xf>
    <xf numFmtId="0" fontId="10" fillId="2" borderId="15" xfId="1" applyFont="1" applyFill="1" applyBorder="1" applyAlignment="1">
      <alignment horizontal="center" vertical="center" shrinkToFit="1"/>
    </xf>
    <xf numFmtId="0" fontId="10" fillId="2" borderId="17" xfId="1" applyFont="1" applyFill="1" applyBorder="1" applyAlignment="1">
      <alignment horizontal="left" vertical="center"/>
    </xf>
    <xf numFmtId="0" fontId="10" fillId="2" borderId="15" xfId="1" applyFont="1" applyFill="1" applyBorder="1" applyAlignment="1">
      <alignment horizontal="left" vertical="center"/>
    </xf>
    <xf numFmtId="0" fontId="10" fillId="2" borderId="16" xfId="1" applyFont="1" applyFill="1" applyBorder="1" applyAlignment="1">
      <alignment horizontal="left" vertical="center"/>
    </xf>
    <xf numFmtId="0" fontId="10" fillId="2" borderId="0" xfId="1" applyFont="1" applyFill="1" applyBorder="1" applyAlignment="1">
      <alignment horizontal="left" vertical="top"/>
    </xf>
    <xf numFmtId="0" fontId="16" fillId="2" borderId="0" xfId="2" applyFont="1" applyFill="1" applyAlignment="1" applyProtection="1">
      <alignment horizontal="left" shrinkToFit="1"/>
    </xf>
    <xf numFmtId="0" fontId="16" fillId="2" borderId="0" xfId="1" applyFont="1" applyFill="1" applyAlignment="1">
      <alignment horizontal="left" shrinkToFit="1"/>
    </xf>
    <xf numFmtId="0" fontId="9" fillId="2" borderId="2" xfId="1" applyFont="1" applyFill="1" applyBorder="1" applyAlignment="1">
      <alignment horizontal="center" vertical="center" shrinkToFit="1"/>
    </xf>
    <xf numFmtId="0" fontId="9" fillId="2" borderId="3" xfId="1" applyFont="1" applyFill="1" applyBorder="1" applyAlignment="1">
      <alignment horizontal="center" vertical="center" shrinkToFit="1"/>
    </xf>
    <xf numFmtId="0" fontId="10" fillId="2" borderId="2" xfId="1" applyFont="1" applyFill="1" applyBorder="1" applyAlignment="1">
      <alignment horizontal="center" vertical="center" shrinkToFit="1"/>
    </xf>
    <xf numFmtId="0" fontId="10" fillId="2" borderId="4" xfId="1" applyFont="1" applyFill="1" applyBorder="1" applyAlignment="1">
      <alignment horizontal="center" vertical="center" shrinkToFit="1"/>
    </xf>
    <xf numFmtId="0" fontId="10" fillId="2" borderId="3" xfId="1" applyFont="1" applyFill="1" applyBorder="1" applyAlignment="1">
      <alignment horizontal="center" vertical="center" shrinkToFit="1"/>
    </xf>
    <xf numFmtId="49" fontId="10" fillId="2" borderId="0" xfId="1" applyNumberFormat="1" applyFont="1" applyFill="1" applyAlignment="1">
      <alignment vertical="top"/>
    </xf>
    <xf numFmtId="176" fontId="13" fillId="2" borderId="0" xfId="1" applyNumberFormat="1" applyFont="1" applyFill="1" applyAlignment="1">
      <alignment horizontal="left"/>
    </xf>
    <xf numFmtId="0" fontId="2" fillId="2" borderId="0" xfId="1" applyFont="1" applyFill="1" applyBorder="1" applyAlignment="1">
      <alignment horizontal="center" vertical="center" shrinkToFit="1"/>
    </xf>
    <xf numFmtId="0" fontId="8" fillId="2" borderId="0" xfId="1" applyFont="1" applyFill="1" applyAlignment="1">
      <alignment horizontal="center" vertical="center"/>
    </xf>
    <xf numFmtId="14" fontId="8" fillId="2" borderId="0" xfId="1" applyNumberFormat="1" applyFont="1" applyFill="1" applyAlignment="1">
      <alignment horizontal="left" vertical="center"/>
    </xf>
    <xf numFmtId="0" fontId="9" fillId="2" borderId="1" xfId="1" applyFont="1" applyFill="1" applyBorder="1" applyAlignment="1">
      <alignment horizontal="center" vertical="center" wrapText="1" shrinkToFit="1"/>
    </xf>
    <xf numFmtId="0" fontId="9" fillId="2" borderId="5" xfId="1" applyFont="1" applyFill="1" applyBorder="1" applyAlignment="1">
      <alignment horizontal="center" vertical="center" shrinkToFit="1"/>
    </xf>
    <xf numFmtId="0" fontId="9" fillId="2" borderId="7" xfId="1" applyFont="1" applyFill="1" applyBorder="1" applyAlignment="1">
      <alignment horizontal="center" vertical="center" shrinkToFit="1"/>
    </xf>
    <xf numFmtId="0" fontId="11" fillId="2" borderId="0" xfId="1" applyFont="1" applyFill="1" applyBorder="1" applyAlignment="1">
      <alignment horizontal="center" shrinkToFit="1"/>
    </xf>
    <xf numFmtId="0" fontId="11" fillId="2" borderId="6" xfId="1" applyFont="1" applyFill="1" applyBorder="1" applyAlignment="1">
      <alignment horizontal="center" shrinkToFit="1"/>
    </xf>
    <xf numFmtId="0" fontId="10" fillId="2" borderId="0" xfId="1" applyFont="1" applyFill="1" applyBorder="1" applyAlignment="1">
      <alignment horizontal="center"/>
    </xf>
    <xf numFmtId="0" fontId="10" fillId="2" borderId="6" xfId="1" applyFont="1" applyFill="1" applyBorder="1" applyAlignment="1">
      <alignment horizontal="center"/>
    </xf>
    <xf numFmtId="41" fontId="10" fillId="2" borderId="33" xfId="5" applyFont="1" applyFill="1" applyBorder="1" applyAlignment="1">
      <alignment horizontal="center" vertical="center"/>
    </xf>
    <xf numFmtId="41" fontId="10" fillId="2" borderId="79" xfId="5" applyFont="1" applyFill="1" applyBorder="1" applyAlignment="1">
      <alignment horizontal="center" vertical="center"/>
    </xf>
    <xf numFmtId="41" fontId="10" fillId="2" borderId="39" xfId="5" applyFont="1" applyFill="1" applyBorder="1" applyAlignment="1">
      <alignment horizontal="center" vertical="center"/>
    </xf>
    <xf numFmtId="41" fontId="10" fillId="2" borderId="40" xfId="5" applyFont="1" applyFill="1" applyBorder="1" applyAlignment="1">
      <alignment horizontal="center" vertical="center"/>
    </xf>
    <xf numFmtId="41" fontId="10" fillId="6" borderId="52" xfId="5" applyFont="1" applyFill="1" applyBorder="1" applyAlignment="1">
      <alignment horizontal="center" vertical="center" shrinkToFit="1"/>
    </xf>
    <xf numFmtId="41" fontId="10" fillId="6" borderId="53" xfId="5" applyFont="1" applyFill="1" applyBorder="1" applyAlignment="1">
      <alignment horizontal="center" vertical="center" shrinkToFit="1"/>
    </xf>
  </cellXfs>
  <cellStyles count="6">
    <cellStyle name="백분율 2" xfId="4"/>
    <cellStyle name="쉼표 [0]" xfId="5" builtinId="6"/>
    <cellStyle name="쉼표 [0] 2" xfId="3"/>
    <cellStyle name="표준" xfId="0" builtinId="0"/>
    <cellStyle name="표준 2" xfId="1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3</xdr:col>
      <xdr:colOff>561975</xdr:colOff>
      <xdr:row>1</xdr:row>
      <xdr:rowOff>342900</xdr:rowOff>
    </xdr:to>
    <xdr:pic>
      <xdr:nvPicPr>
        <xdr:cNvPr id="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2514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104775</xdr:colOff>
      <xdr:row>63</xdr:row>
      <xdr:rowOff>1247775</xdr:rowOff>
    </xdr:from>
    <xdr:to>
      <xdr:col>21</xdr:col>
      <xdr:colOff>561975</xdr:colOff>
      <xdr:row>63</xdr:row>
      <xdr:rowOff>2571750</xdr:rowOff>
    </xdr:to>
    <xdr:pic>
      <xdr:nvPicPr>
        <xdr:cNvPr id="3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950" y="18849975"/>
          <a:ext cx="109537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104775</xdr:colOff>
      <xdr:row>63</xdr:row>
      <xdr:rowOff>1247775</xdr:rowOff>
    </xdr:from>
    <xdr:to>
      <xdr:col>21</xdr:col>
      <xdr:colOff>561975</xdr:colOff>
      <xdr:row>63</xdr:row>
      <xdr:rowOff>2571750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950" y="18849975"/>
          <a:ext cx="109537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104775</xdr:colOff>
      <xdr:row>63</xdr:row>
      <xdr:rowOff>1247775</xdr:rowOff>
    </xdr:from>
    <xdr:to>
      <xdr:col>21</xdr:col>
      <xdr:colOff>561975</xdr:colOff>
      <xdr:row>63</xdr:row>
      <xdr:rowOff>2571750</xdr:rowOff>
    </xdr:to>
    <xdr:pic>
      <xdr:nvPicPr>
        <xdr:cNvPr id="5" name="그림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950" y="18849975"/>
          <a:ext cx="109537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104775</xdr:colOff>
      <xdr:row>63</xdr:row>
      <xdr:rowOff>1247775</xdr:rowOff>
    </xdr:from>
    <xdr:to>
      <xdr:col>21</xdr:col>
      <xdr:colOff>561975</xdr:colOff>
      <xdr:row>63</xdr:row>
      <xdr:rowOff>2571750</xdr:rowOff>
    </xdr:to>
    <xdr:pic>
      <xdr:nvPicPr>
        <xdr:cNvPr id="6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950" y="18849975"/>
          <a:ext cx="109537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104775</xdr:colOff>
      <xdr:row>63</xdr:row>
      <xdr:rowOff>1247775</xdr:rowOff>
    </xdr:from>
    <xdr:to>
      <xdr:col>21</xdr:col>
      <xdr:colOff>561975</xdr:colOff>
      <xdr:row>63</xdr:row>
      <xdr:rowOff>2571750</xdr:rowOff>
    </xdr:to>
    <xdr:pic>
      <xdr:nvPicPr>
        <xdr:cNvPr id="7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950" y="18849975"/>
          <a:ext cx="109537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104775</xdr:colOff>
      <xdr:row>63</xdr:row>
      <xdr:rowOff>1247775</xdr:rowOff>
    </xdr:from>
    <xdr:to>
      <xdr:col>21</xdr:col>
      <xdr:colOff>561975</xdr:colOff>
      <xdr:row>63</xdr:row>
      <xdr:rowOff>2571750</xdr:rowOff>
    </xdr:to>
    <xdr:pic>
      <xdr:nvPicPr>
        <xdr:cNvPr id="8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950" y="18849975"/>
          <a:ext cx="109537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ka6157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4"/>
  <sheetViews>
    <sheetView showGridLines="0" tabSelected="1" topLeftCell="A19" zoomScale="55" zoomScaleNormal="55" workbookViewId="0">
      <selection activeCell="A42" sqref="A42"/>
    </sheetView>
  </sheetViews>
  <sheetFormatPr defaultColWidth="5.375" defaultRowHeight="20.100000000000001" customHeight="1"/>
  <cols>
    <col min="1" max="1" width="8.375" style="1" customWidth="1"/>
    <col min="2" max="2" width="8.875" style="1" customWidth="1"/>
    <col min="3" max="4" width="8.375" style="1" customWidth="1"/>
    <col min="5" max="5" width="8.75" style="1" customWidth="1"/>
    <col min="6" max="22" width="8.375" style="1" customWidth="1"/>
    <col min="23" max="23" width="8.25" style="1" customWidth="1"/>
    <col min="24" max="24" width="21.375" style="1" customWidth="1"/>
    <col min="25" max="25" width="9.375" style="1" customWidth="1"/>
    <col min="26" max="28" width="5.375" style="1"/>
    <col min="29" max="29" width="64.375" style="1" customWidth="1"/>
    <col min="30" max="256" width="5.375" style="1"/>
    <col min="257" max="257" width="8.375" style="1" customWidth="1"/>
    <col min="258" max="258" width="8.875" style="1" customWidth="1"/>
    <col min="259" max="260" width="8.375" style="1" customWidth="1"/>
    <col min="261" max="261" width="8.75" style="1" customWidth="1"/>
    <col min="262" max="278" width="8.375" style="1" customWidth="1"/>
    <col min="279" max="279" width="8.25" style="1" customWidth="1"/>
    <col min="280" max="280" width="21.375" style="1" customWidth="1"/>
    <col min="281" max="281" width="9.375" style="1" customWidth="1"/>
    <col min="282" max="284" width="5.375" style="1"/>
    <col min="285" max="285" width="64.375" style="1" customWidth="1"/>
    <col min="286" max="512" width="5.375" style="1"/>
    <col min="513" max="513" width="8.375" style="1" customWidth="1"/>
    <col min="514" max="514" width="8.875" style="1" customWidth="1"/>
    <col min="515" max="516" width="8.375" style="1" customWidth="1"/>
    <col min="517" max="517" width="8.75" style="1" customWidth="1"/>
    <col min="518" max="534" width="8.375" style="1" customWidth="1"/>
    <col min="535" max="535" width="8.25" style="1" customWidth="1"/>
    <col min="536" max="536" width="21.375" style="1" customWidth="1"/>
    <col min="537" max="537" width="9.375" style="1" customWidth="1"/>
    <col min="538" max="540" width="5.375" style="1"/>
    <col min="541" max="541" width="64.375" style="1" customWidth="1"/>
    <col min="542" max="768" width="5.375" style="1"/>
    <col min="769" max="769" width="8.375" style="1" customWidth="1"/>
    <col min="770" max="770" width="8.875" style="1" customWidth="1"/>
    <col min="771" max="772" width="8.375" style="1" customWidth="1"/>
    <col min="773" max="773" width="8.75" style="1" customWidth="1"/>
    <col min="774" max="790" width="8.375" style="1" customWidth="1"/>
    <col min="791" max="791" width="8.25" style="1" customWidth="1"/>
    <col min="792" max="792" width="21.375" style="1" customWidth="1"/>
    <col min="793" max="793" width="9.375" style="1" customWidth="1"/>
    <col min="794" max="796" width="5.375" style="1"/>
    <col min="797" max="797" width="64.375" style="1" customWidth="1"/>
    <col min="798" max="1024" width="5.375" style="1"/>
    <col min="1025" max="1025" width="8.375" style="1" customWidth="1"/>
    <col min="1026" max="1026" width="8.875" style="1" customWidth="1"/>
    <col min="1027" max="1028" width="8.375" style="1" customWidth="1"/>
    <col min="1029" max="1029" width="8.75" style="1" customWidth="1"/>
    <col min="1030" max="1046" width="8.375" style="1" customWidth="1"/>
    <col min="1047" max="1047" width="8.25" style="1" customWidth="1"/>
    <col min="1048" max="1048" width="21.375" style="1" customWidth="1"/>
    <col min="1049" max="1049" width="9.375" style="1" customWidth="1"/>
    <col min="1050" max="1052" width="5.375" style="1"/>
    <col min="1053" max="1053" width="64.375" style="1" customWidth="1"/>
    <col min="1054" max="1280" width="5.375" style="1"/>
    <col min="1281" max="1281" width="8.375" style="1" customWidth="1"/>
    <col min="1282" max="1282" width="8.875" style="1" customWidth="1"/>
    <col min="1283" max="1284" width="8.375" style="1" customWidth="1"/>
    <col min="1285" max="1285" width="8.75" style="1" customWidth="1"/>
    <col min="1286" max="1302" width="8.375" style="1" customWidth="1"/>
    <col min="1303" max="1303" width="8.25" style="1" customWidth="1"/>
    <col min="1304" max="1304" width="21.375" style="1" customWidth="1"/>
    <col min="1305" max="1305" width="9.375" style="1" customWidth="1"/>
    <col min="1306" max="1308" width="5.375" style="1"/>
    <col min="1309" max="1309" width="64.375" style="1" customWidth="1"/>
    <col min="1310" max="1536" width="5.375" style="1"/>
    <col min="1537" max="1537" width="8.375" style="1" customWidth="1"/>
    <col min="1538" max="1538" width="8.875" style="1" customWidth="1"/>
    <col min="1539" max="1540" width="8.375" style="1" customWidth="1"/>
    <col min="1541" max="1541" width="8.75" style="1" customWidth="1"/>
    <col min="1542" max="1558" width="8.375" style="1" customWidth="1"/>
    <col min="1559" max="1559" width="8.25" style="1" customWidth="1"/>
    <col min="1560" max="1560" width="21.375" style="1" customWidth="1"/>
    <col min="1561" max="1561" width="9.375" style="1" customWidth="1"/>
    <col min="1562" max="1564" width="5.375" style="1"/>
    <col min="1565" max="1565" width="64.375" style="1" customWidth="1"/>
    <col min="1566" max="1792" width="5.375" style="1"/>
    <col min="1793" max="1793" width="8.375" style="1" customWidth="1"/>
    <col min="1794" max="1794" width="8.875" style="1" customWidth="1"/>
    <col min="1795" max="1796" width="8.375" style="1" customWidth="1"/>
    <col min="1797" max="1797" width="8.75" style="1" customWidth="1"/>
    <col min="1798" max="1814" width="8.375" style="1" customWidth="1"/>
    <col min="1815" max="1815" width="8.25" style="1" customWidth="1"/>
    <col min="1816" max="1816" width="21.375" style="1" customWidth="1"/>
    <col min="1817" max="1817" width="9.375" style="1" customWidth="1"/>
    <col min="1818" max="1820" width="5.375" style="1"/>
    <col min="1821" max="1821" width="64.375" style="1" customWidth="1"/>
    <col min="1822" max="2048" width="5.375" style="1"/>
    <col min="2049" max="2049" width="8.375" style="1" customWidth="1"/>
    <col min="2050" max="2050" width="8.875" style="1" customWidth="1"/>
    <col min="2051" max="2052" width="8.375" style="1" customWidth="1"/>
    <col min="2053" max="2053" width="8.75" style="1" customWidth="1"/>
    <col min="2054" max="2070" width="8.375" style="1" customWidth="1"/>
    <col min="2071" max="2071" width="8.25" style="1" customWidth="1"/>
    <col min="2072" max="2072" width="21.375" style="1" customWidth="1"/>
    <col min="2073" max="2073" width="9.375" style="1" customWidth="1"/>
    <col min="2074" max="2076" width="5.375" style="1"/>
    <col min="2077" max="2077" width="64.375" style="1" customWidth="1"/>
    <col min="2078" max="2304" width="5.375" style="1"/>
    <col min="2305" max="2305" width="8.375" style="1" customWidth="1"/>
    <col min="2306" max="2306" width="8.875" style="1" customWidth="1"/>
    <col min="2307" max="2308" width="8.375" style="1" customWidth="1"/>
    <col min="2309" max="2309" width="8.75" style="1" customWidth="1"/>
    <col min="2310" max="2326" width="8.375" style="1" customWidth="1"/>
    <col min="2327" max="2327" width="8.25" style="1" customWidth="1"/>
    <col min="2328" max="2328" width="21.375" style="1" customWidth="1"/>
    <col min="2329" max="2329" width="9.375" style="1" customWidth="1"/>
    <col min="2330" max="2332" width="5.375" style="1"/>
    <col min="2333" max="2333" width="64.375" style="1" customWidth="1"/>
    <col min="2334" max="2560" width="5.375" style="1"/>
    <col min="2561" max="2561" width="8.375" style="1" customWidth="1"/>
    <col min="2562" max="2562" width="8.875" style="1" customWidth="1"/>
    <col min="2563" max="2564" width="8.375" style="1" customWidth="1"/>
    <col min="2565" max="2565" width="8.75" style="1" customWidth="1"/>
    <col min="2566" max="2582" width="8.375" style="1" customWidth="1"/>
    <col min="2583" max="2583" width="8.25" style="1" customWidth="1"/>
    <col min="2584" max="2584" width="21.375" style="1" customWidth="1"/>
    <col min="2585" max="2585" width="9.375" style="1" customWidth="1"/>
    <col min="2586" max="2588" width="5.375" style="1"/>
    <col min="2589" max="2589" width="64.375" style="1" customWidth="1"/>
    <col min="2590" max="2816" width="5.375" style="1"/>
    <col min="2817" max="2817" width="8.375" style="1" customWidth="1"/>
    <col min="2818" max="2818" width="8.875" style="1" customWidth="1"/>
    <col min="2819" max="2820" width="8.375" style="1" customWidth="1"/>
    <col min="2821" max="2821" width="8.75" style="1" customWidth="1"/>
    <col min="2822" max="2838" width="8.375" style="1" customWidth="1"/>
    <col min="2839" max="2839" width="8.25" style="1" customWidth="1"/>
    <col min="2840" max="2840" width="21.375" style="1" customWidth="1"/>
    <col min="2841" max="2841" width="9.375" style="1" customWidth="1"/>
    <col min="2842" max="2844" width="5.375" style="1"/>
    <col min="2845" max="2845" width="64.375" style="1" customWidth="1"/>
    <col min="2846" max="3072" width="5.375" style="1"/>
    <col min="3073" max="3073" width="8.375" style="1" customWidth="1"/>
    <col min="3074" max="3074" width="8.875" style="1" customWidth="1"/>
    <col min="3075" max="3076" width="8.375" style="1" customWidth="1"/>
    <col min="3077" max="3077" width="8.75" style="1" customWidth="1"/>
    <col min="3078" max="3094" width="8.375" style="1" customWidth="1"/>
    <col min="3095" max="3095" width="8.25" style="1" customWidth="1"/>
    <col min="3096" max="3096" width="21.375" style="1" customWidth="1"/>
    <col min="3097" max="3097" width="9.375" style="1" customWidth="1"/>
    <col min="3098" max="3100" width="5.375" style="1"/>
    <col min="3101" max="3101" width="64.375" style="1" customWidth="1"/>
    <col min="3102" max="3328" width="5.375" style="1"/>
    <col min="3329" max="3329" width="8.375" style="1" customWidth="1"/>
    <col min="3330" max="3330" width="8.875" style="1" customWidth="1"/>
    <col min="3331" max="3332" width="8.375" style="1" customWidth="1"/>
    <col min="3333" max="3333" width="8.75" style="1" customWidth="1"/>
    <col min="3334" max="3350" width="8.375" style="1" customWidth="1"/>
    <col min="3351" max="3351" width="8.25" style="1" customWidth="1"/>
    <col min="3352" max="3352" width="21.375" style="1" customWidth="1"/>
    <col min="3353" max="3353" width="9.375" style="1" customWidth="1"/>
    <col min="3354" max="3356" width="5.375" style="1"/>
    <col min="3357" max="3357" width="64.375" style="1" customWidth="1"/>
    <col min="3358" max="3584" width="5.375" style="1"/>
    <col min="3585" max="3585" width="8.375" style="1" customWidth="1"/>
    <col min="3586" max="3586" width="8.875" style="1" customWidth="1"/>
    <col min="3587" max="3588" width="8.375" style="1" customWidth="1"/>
    <col min="3589" max="3589" width="8.75" style="1" customWidth="1"/>
    <col min="3590" max="3606" width="8.375" style="1" customWidth="1"/>
    <col min="3607" max="3607" width="8.25" style="1" customWidth="1"/>
    <col min="3608" max="3608" width="21.375" style="1" customWidth="1"/>
    <col min="3609" max="3609" width="9.375" style="1" customWidth="1"/>
    <col min="3610" max="3612" width="5.375" style="1"/>
    <col min="3613" max="3613" width="64.375" style="1" customWidth="1"/>
    <col min="3614" max="3840" width="5.375" style="1"/>
    <col min="3841" max="3841" width="8.375" style="1" customWidth="1"/>
    <col min="3842" max="3842" width="8.875" style="1" customWidth="1"/>
    <col min="3843" max="3844" width="8.375" style="1" customWidth="1"/>
    <col min="3845" max="3845" width="8.75" style="1" customWidth="1"/>
    <col min="3846" max="3862" width="8.375" style="1" customWidth="1"/>
    <col min="3863" max="3863" width="8.25" style="1" customWidth="1"/>
    <col min="3864" max="3864" width="21.375" style="1" customWidth="1"/>
    <col min="3865" max="3865" width="9.375" style="1" customWidth="1"/>
    <col min="3866" max="3868" width="5.375" style="1"/>
    <col min="3869" max="3869" width="64.375" style="1" customWidth="1"/>
    <col min="3870" max="4096" width="5.375" style="1"/>
    <col min="4097" max="4097" width="8.375" style="1" customWidth="1"/>
    <col min="4098" max="4098" width="8.875" style="1" customWidth="1"/>
    <col min="4099" max="4100" width="8.375" style="1" customWidth="1"/>
    <col min="4101" max="4101" width="8.75" style="1" customWidth="1"/>
    <col min="4102" max="4118" width="8.375" style="1" customWidth="1"/>
    <col min="4119" max="4119" width="8.25" style="1" customWidth="1"/>
    <col min="4120" max="4120" width="21.375" style="1" customWidth="1"/>
    <col min="4121" max="4121" width="9.375" style="1" customWidth="1"/>
    <col min="4122" max="4124" width="5.375" style="1"/>
    <col min="4125" max="4125" width="64.375" style="1" customWidth="1"/>
    <col min="4126" max="4352" width="5.375" style="1"/>
    <col min="4353" max="4353" width="8.375" style="1" customWidth="1"/>
    <col min="4354" max="4354" width="8.875" style="1" customWidth="1"/>
    <col min="4355" max="4356" width="8.375" style="1" customWidth="1"/>
    <col min="4357" max="4357" width="8.75" style="1" customWidth="1"/>
    <col min="4358" max="4374" width="8.375" style="1" customWidth="1"/>
    <col min="4375" max="4375" width="8.25" style="1" customWidth="1"/>
    <col min="4376" max="4376" width="21.375" style="1" customWidth="1"/>
    <col min="4377" max="4377" width="9.375" style="1" customWidth="1"/>
    <col min="4378" max="4380" width="5.375" style="1"/>
    <col min="4381" max="4381" width="64.375" style="1" customWidth="1"/>
    <col min="4382" max="4608" width="5.375" style="1"/>
    <col min="4609" max="4609" width="8.375" style="1" customWidth="1"/>
    <col min="4610" max="4610" width="8.875" style="1" customWidth="1"/>
    <col min="4611" max="4612" width="8.375" style="1" customWidth="1"/>
    <col min="4613" max="4613" width="8.75" style="1" customWidth="1"/>
    <col min="4614" max="4630" width="8.375" style="1" customWidth="1"/>
    <col min="4631" max="4631" width="8.25" style="1" customWidth="1"/>
    <col min="4632" max="4632" width="21.375" style="1" customWidth="1"/>
    <col min="4633" max="4633" width="9.375" style="1" customWidth="1"/>
    <col min="4634" max="4636" width="5.375" style="1"/>
    <col min="4637" max="4637" width="64.375" style="1" customWidth="1"/>
    <col min="4638" max="4864" width="5.375" style="1"/>
    <col min="4865" max="4865" width="8.375" style="1" customWidth="1"/>
    <col min="4866" max="4866" width="8.875" style="1" customWidth="1"/>
    <col min="4867" max="4868" width="8.375" style="1" customWidth="1"/>
    <col min="4869" max="4869" width="8.75" style="1" customWidth="1"/>
    <col min="4870" max="4886" width="8.375" style="1" customWidth="1"/>
    <col min="4887" max="4887" width="8.25" style="1" customWidth="1"/>
    <col min="4888" max="4888" width="21.375" style="1" customWidth="1"/>
    <col min="4889" max="4889" width="9.375" style="1" customWidth="1"/>
    <col min="4890" max="4892" width="5.375" style="1"/>
    <col min="4893" max="4893" width="64.375" style="1" customWidth="1"/>
    <col min="4894" max="5120" width="5.375" style="1"/>
    <col min="5121" max="5121" width="8.375" style="1" customWidth="1"/>
    <col min="5122" max="5122" width="8.875" style="1" customWidth="1"/>
    <col min="5123" max="5124" width="8.375" style="1" customWidth="1"/>
    <col min="5125" max="5125" width="8.75" style="1" customWidth="1"/>
    <col min="5126" max="5142" width="8.375" style="1" customWidth="1"/>
    <col min="5143" max="5143" width="8.25" style="1" customWidth="1"/>
    <col min="5144" max="5144" width="21.375" style="1" customWidth="1"/>
    <col min="5145" max="5145" width="9.375" style="1" customWidth="1"/>
    <col min="5146" max="5148" width="5.375" style="1"/>
    <col min="5149" max="5149" width="64.375" style="1" customWidth="1"/>
    <col min="5150" max="5376" width="5.375" style="1"/>
    <col min="5377" max="5377" width="8.375" style="1" customWidth="1"/>
    <col min="5378" max="5378" width="8.875" style="1" customWidth="1"/>
    <col min="5379" max="5380" width="8.375" style="1" customWidth="1"/>
    <col min="5381" max="5381" width="8.75" style="1" customWidth="1"/>
    <col min="5382" max="5398" width="8.375" style="1" customWidth="1"/>
    <col min="5399" max="5399" width="8.25" style="1" customWidth="1"/>
    <col min="5400" max="5400" width="21.375" style="1" customWidth="1"/>
    <col min="5401" max="5401" width="9.375" style="1" customWidth="1"/>
    <col min="5402" max="5404" width="5.375" style="1"/>
    <col min="5405" max="5405" width="64.375" style="1" customWidth="1"/>
    <col min="5406" max="5632" width="5.375" style="1"/>
    <col min="5633" max="5633" width="8.375" style="1" customWidth="1"/>
    <col min="5634" max="5634" width="8.875" style="1" customWidth="1"/>
    <col min="5635" max="5636" width="8.375" style="1" customWidth="1"/>
    <col min="5637" max="5637" width="8.75" style="1" customWidth="1"/>
    <col min="5638" max="5654" width="8.375" style="1" customWidth="1"/>
    <col min="5655" max="5655" width="8.25" style="1" customWidth="1"/>
    <col min="5656" max="5656" width="21.375" style="1" customWidth="1"/>
    <col min="5657" max="5657" width="9.375" style="1" customWidth="1"/>
    <col min="5658" max="5660" width="5.375" style="1"/>
    <col min="5661" max="5661" width="64.375" style="1" customWidth="1"/>
    <col min="5662" max="5888" width="5.375" style="1"/>
    <col min="5889" max="5889" width="8.375" style="1" customWidth="1"/>
    <col min="5890" max="5890" width="8.875" style="1" customWidth="1"/>
    <col min="5891" max="5892" width="8.375" style="1" customWidth="1"/>
    <col min="5893" max="5893" width="8.75" style="1" customWidth="1"/>
    <col min="5894" max="5910" width="8.375" style="1" customWidth="1"/>
    <col min="5911" max="5911" width="8.25" style="1" customWidth="1"/>
    <col min="5912" max="5912" width="21.375" style="1" customWidth="1"/>
    <col min="5913" max="5913" width="9.375" style="1" customWidth="1"/>
    <col min="5914" max="5916" width="5.375" style="1"/>
    <col min="5917" max="5917" width="64.375" style="1" customWidth="1"/>
    <col min="5918" max="6144" width="5.375" style="1"/>
    <col min="6145" max="6145" width="8.375" style="1" customWidth="1"/>
    <col min="6146" max="6146" width="8.875" style="1" customWidth="1"/>
    <col min="6147" max="6148" width="8.375" style="1" customWidth="1"/>
    <col min="6149" max="6149" width="8.75" style="1" customWidth="1"/>
    <col min="6150" max="6166" width="8.375" style="1" customWidth="1"/>
    <col min="6167" max="6167" width="8.25" style="1" customWidth="1"/>
    <col min="6168" max="6168" width="21.375" style="1" customWidth="1"/>
    <col min="6169" max="6169" width="9.375" style="1" customWidth="1"/>
    <col min="6170" max="6172" width="5.375" style="1"/>
    <col min="6173" max="6173" width="64.375" style="1" customWidth="1"/>
    <col min="6174" max="6400" width="5.375" style="1"/>
    <col min="6401" max="6401" width="8.375" style="1" customWidth="1"/>
    <col min="6402" max="6402" width="8.875" style="1" customWidth="1"/>
    <col min="6403" max="6404" width="8.375" style="1" customWidth="1"/>
    <col min="6405" max="6405" width="8.75" style="1" customWidth="1"/>
    <col min="6406" max="6422" width="8.375" style="1" customWidth="1"/>
    <col min="6423" max="6423" width="8.25" style="1" customWidth="1"/>
    <col min="6424" max="6424" width="21.375" style="1" customWidth="1"/>
    <col min="6425" max="6425" width="9.375" style="1" customWidth="1"/>
    <col min="6426" max="6428" width="5.375" style="1"/>
    <col min="6429" max="6429" width="64.375" style="1" customWidth="1"/>
    <col min="6430" max="6656" width="5.375" style="1"/>
    <col min="6657" max="6657" width="8.375" style="1" customWidth="1"/>
    <col min="6658" max="6658" width="8.875" style="1" customWidth="1"/>
    <col min="6659" max="6660" width="8.375" style="1" customWidth="1"/>
    <col min="6661" max="6661" width="8.75" style="1" customWidth="1"/>
    <col min="6662" max="6678" width="8.375" style="1" customWidth="1"/>
    <col min="6679" max="6679" width="8.25" style="1" customWidth="1"/>
    <col min="6680" max="6680" width="21.375" style="1" customWidth="1"/>
    <col min="6681" max="6681" width="9.375" style="1" customWidth="1"/>
    <col min="6682" max="6684" width="5.375" style="1"/>
    <col min="6685" max="6685" width="64.375" style="1" customWidth="1"/>
    <col min="6686" max="6912" width="5.375" style="1"/>
    <col min="6913" max="6913" width="8.375" style="1" customWidth="1"/>
    <col min="6914" max="6914" width="8.875" style="1" customWidth="1"/>
    <col min="6915" max="6916" width="8.375" style="1" customWidth="1"/>
    <col min="6917" max="6917" width="8.75" style="1" customWidth="1"/>
    <col min="6918" max="6934" width="8.375" style="1" customWidth="1"/>
    <col min="6935" max="6935" width="8.25" style="1" customWidth="1"/>
    <col min="6936" max="6936" width="21.375" style="1" customWidth="1"/>
    <col min="6937" max="6937" width="9.375" style="1" customWidth="1"/>
    <col min="6938" max="6940" width="5.375" style="1"/>
    <col min="6941" max="6941" width="64.375" style="1" customWidth="1"/>
    <col min="6942" max="7168" width="5.375" style="1"/>
    <col min="7169" max="7169" width="8.375" style="1" customWidth="1"/>
    <col min="7170" max="7170" width="8.875" style="1" customWidth="1"/>
    <col min="7171" max="7172" width="8.375" style="1" customWidth="1"/>
    <col min="7173" max="7173" width="8.75" style="1" customWidth="1"/>
    <col min="7174" max="7190" width="8.375" style="1" customWidth="1"/>
    <col min="7191" max="7191" width="8.25" style="1" customWidth="1"/>
    <col min="7192" max="7192" width="21.375" style="1" customWidth="1"/>
    <col min="7193" max="7193" width="9.375" style="1" customWidth="1"/>
    <col min="7194" max="7196" width="5.375" style="1"/>
    <col min="7197" max="7197" width="64.375" style="1" customWidth="1"/>
    <col min="7198" max="7424" width="5.375" style="1"/>
    <col min="7425" max="7425" width="8.375" style="1" customWidth="1"/>
    <col min="7426" max="7426" width="8.875" style="1" customWidth="1"/>
    <col min="7427" max="7428" width="8.375" style="1" customWidth="1"/>
    <col min="7429" max="7429" width="8.75" style="1" customWidth="1"/>
    <col min="7430" max="7446" width="8.375" style="1" customWidth="1"/>
    <col min="7447" max="7447" width="8.25" style="1" customWidth="1"/>
    <col min="7448" max="7448" width="21.375" style="1" customWidth="1"/>
    <col min="7449" max="7449" width="9.375" style="1" customWidth="1"/>
    <col min="7450" max="7452" width="5.375" style="1"/>
    <col min="7453" max="7453" width="64.375" style="1" customWidth="1"/>
    <col min="7454" max="7680" width="5.375" style="1"/>
    <col min="7681" max="7681" width="8.375" style="1" customWidth="1"/>
    <col min="7682" max="7682" width="8.875" style="1" customWidth="1"/>
    <col min="7683" max="7684" width="8.375" style="1" customWidth="1"/>
    <col min="7685" max="7685" width="8.75" style="1" customWidth="1"/>
    <col min="7686" max="7702" width="8.375" style="1" customWidth="1"/>
    <col min="7703" max="7703" width="8.25" style="1" customWidth="1"/>
    <col min="7704" max="7704" width="21.375" style="1" customWidth="1"/>
    <col min="7705" max="7705" width="9.375" style="1" customWidth="1"/>
    <col min="7706" max="7708" width="5.375" style="1"/>
    <col min="7709" max="7709" width="64.375" style="1" customWidth="1"/>
    <col min="7710" max="7936" width="5.375" style="1"/>
    <col min="7937" max="7937" width="8.375" style="1" customWidth="1"/>
    <col min="7938" max="7938" width="8.875" style="1" customWidth="1"/>
    <col min="7939" max="7940" width="8.375" style="1" customWidth="1"/>
    <col min="7941" max="7941" width="8.75" style="1" customWidth="1"/>
    <col min="7942" max="7958" width="8.375" style="1" customWidth="1"/>
    <col min="7959" max="7959" width="8.25" style="1" customWidth="1"/>
    <col min="7960" max="7960" width="21.375" style="1" customWidth="1"/>
    <col min="7961" max="7961" width="9.375" style="1" customWidth="1"/>
    <col min="7962" max="7964" width="5.375" style="1"/>
    <col min="7965" max="7965" width="64.375" style="1" customWidth="1"/>
    <col min="7966" max="8192" width="5.375" style="1"/>
    <col min="8193" max="8193" width="8.375" style="1" customWidth="1"/>
    <col min="8194" max="8194" width="8.875" style="1" customWidth="1"/>
    <col min="8195" max="8196" width="8.375" style="1" customWidth="1"/>
    <col min="8197" max="8197" width="8.75" style="1" customWidth="1"/>
    <col min="8198" max="8214" width="8.375" style="1" customWidth="1"/>
    <col min="8215" max="8215" width="8.25" style="1" customWidth="1"/>
    <col min="8216" max="8216" width="21.375" style="1" customWidth="1"/>
    <col min="8217" max="8217" width="9.375" style="1" customWidth="1"/>
    <col min="8218" max="8220" width="5.375" style="1"/>
    <col min="8221" max="8221" width="64.375" style="1" customWidth="1"/>
    <col min="8222" max="8448" width="5.375" style="1"/>
    <col min="8449" max="8449" width="8.375" style="1" customWidth="1"/>
    <col min="8450" max="8450" width="8.875" style="1" customWidth="1"/>
    <col min="8451" max="8452" width="8.375" style="1" customWidth="1"/>
    <col min="8453" max="8453" width="8.75" style="1" customWidth="1"/>
    <col min="8454" max="8470" width="8.375" style="1" customWidth="1"/>
    <col min="8471" max="8471" width="8.25" style="1" customWidth="1"/>
    <col min="8472" max="8472" width="21.375" style="1" customWidth="1"/>
    <col min="8473" max="8473" width="9.375" style="1" customWidth="1"/>
    <col min="8474" max="8476" width="5.375" style="1"/>
    <col min="8477" max="8477" width="64.375" style="1" customWidth="1"/>
    <col min="8478" max="8704" width="5.375" style="1"/>
    <col min="8705" max="8705" width="8.375" style="1" customWidth="1"/>
    <col min="8706" max="8706" width="8.875" style="1" customWidth="1"/>
    <col min="8707" max="8708" width="8.375" style="1" customWidth="1"/>
    <col min="8709" max="8709" width="8.75" style="1" customWidth="1"/>
    <col min="8710" max="8726" width="8.375" style="1" customWidth="1"/>
    <col min="8727" max="8727" width="8.25" style="1" customWidth="1"/>
    <col min="8728" max="8728" width="21.375" style="1" customWidth="1"/>
    <col min="8729" max="8729" width="9.375" style="1" customWidth="1"/>
    <col min="8730" max="8732" width="5.375" style="1"/>
    <col min="8733" max="8733" width="64.375" style="1" customWidth="1"/>
    <col min="8734" max="8960" width="5.375" style="1"/>
    <col min="8961" max="8961" width="8.375" style="1" customWidth="1"/>
    <col min="8962" max="8962" width="8.875" style="1" customWidth="1"/>
    <col min="8963" max="8964" width="8.375" style="1" customWidth="1"/>
    <col min="8965" max="8965" width="8.75" style="1" customWidth="1"/>
    <col min="8966" max="8982" width="8.375" style="1" customWidth="1"/>
    <col min="8983" max="8983" width="8.25" style="1" customWidth="1"/>
    <col min="8984" max="8984" width="21.375" style="1" customWidth="1"/>
    <col min="8985" max="8985" width="9.375" style="1" customWidth="1"/>
    <col min="8986" max="8988" width="5.375" style="1"/>
    <col min="8989" max="8989" width="64.375" style="1" customWidth="1"/>
    <col min="8990" max="9216" width="5.375" style="1"/>
    <col min="9217" max="9217" width="8.375" style="1" customWidth="1"/>
    <col min="9218" max="9218" width="8.875" style="1" customWidth="1"/>
    <col min="9219" max="9220" width="8.375" style="1" customWidth="1"/>
    <col min="9221" max="9221" width="8.75" style="1" customWidth="1"/>
    <col min="9222" max="9238" width="8.375" style="1" customWidth="1"/>
    <col min="9239" max="9239" width="8.25" style="1" customWidth="1"/>
    <col min="9240" max="9240" width="21.375" style="1" customWidth="1"/>
    <col min="9241" max="9241" width="9.375" style="1" customWidth="1"/>
    <col min="9242" max="9244" width="5.375" style="1"/>
    <col min="9245" max="9245" width="64.375" style="1" customWidth="1"/>
    <col min="9246" max="9472" width="5.375" style="1"/>
    <col min="9473" max="9473" width="8.375" style="1" customWidth="1"/>
    <col min="9474" max="9474" width="8.875" style="1" customWidth="1"/>
    <col min="9475" max="9476" width="8.375" style="1" customWidth="1"/>
    <col min="9477" max="9477" width="8.75" style="1" customWidth="1"/>
    <col min="9478" max="9494" width="8.375" style="1" customWidth="1"/>
    <col min="9495" max="9495" width="8.25" style="1" customWidth="1"/>
    <col min="9496" max="9496" width="21.375" style="1" customWidth="1"/>
    <col min="9497" max="9497" width="9.375" style="1" customWidth="1"/>
    <col min="9498" max="9500" width="5.375" style="1"/>
    <col min="9501" max="9501" width="64.375" style="1" customWidth="1"/>
    <col min="9502" max="9728" width="5.375" style="1"/>
    <col min="9729" max="9729" width="8.375" style="1" customWidth="1"/>
    <col min="9730" max="9730" width="8.875" style="1" customWidth="1"/>
    <col min="9731" max="9732" width="8.375" style="1" customWidth="1"/>
    <col min="9733" max="9733" width="8.75" style="1" customWidth="1"/>
    <col min="9734" max="9750" width="8.375" style="1" customWidth="1"/>
    <col min="9751" max="9751" width="8.25" style="1" customWidth="1"/>
    <col min="9752" max="9752" width="21.375" style="1" customWidth="1"/>
    <col min="9753" max="9753" width="9.375" style="1" customWidth="1"/>
    <col min="9754" max="9756" width="5.375" style="1"/>
    <col min="9757" max="9757" width="64.375" style="1" customWidth="1"/>
    <col min="9758" max="9984" width="5.375" style="1"/>
    <col min="9985" max="9985" width="8.375" style="1" customWidth="1"/>
    <col min="9986" max="9986" width="8.875" style="1" customWidth="1"/>
    <col min="9987" max="9988" width="8.375" style="1" customWidth="1"/>
    <col min="9989" max="9989" width="8.75" style="1" customWidth="1"/>
    <col min="9990" max="10006" width="8.375" style="1" customWidth="1"/>
    <col min="10007" max="10007" width="8.25" style="1" customWidth="1"/>
    <col min="10008" max="10008" width="21.375" style="1" customWidth="1"/>
    <col min="10009" max="10009" width="9.375" style="1" customWidth="1"/>
    <col min="10010" max="10012" width="5.375" style="1"/>
    <col min="10013" max="10013" width="64.375" style="1" customWidth="1"/>
    <col min="10014" max="10240" width="5.375" style="1"/>
    <col min="10241" max="10241" width="8.375" style="1" customWidth="1"/>
    <col min="10242" max="10242" width="8.875" style="1" customWidth="1"/>
    <col min="10243" max="10244" width="8.375" style="1" customWidth="1"/>
    <col min="10245" max="10245" width="8.75" style="1" customWidth="1"/>
    <col min="10246" max="10262" width="8.375" style="1" customWidth="1"/>
    <col min="10263" max="10263" width="8.25" style="1" customWidth="1"/>
    <col min="10264" max="10264" width="21.375" style="1" customWidth="1"/>
    <col min="10265" max="10265" width="9.375" style="1" customWidth="1"/>
    <col min="10266" max="10268" width="5.375" style="1"/>
    <col min="10269" max="10269" width="64.375" style="1" customWidth="1"/>
    <col min="10270" max="10496" width="5.375" style="1"/>
    <col min="10497" max="10497" width="8.375" style="1" customWidth="1"/>
    <col min="10498" max="10498" width="8.875" style="1" customWidth="1"/>
    <col min="10499" max="10500" width="8.375" style="1" customWidth="1"/>
    <col min="10501" max="10501" width="8.75" style="1" customWidth="1"/>
    <col min="10502" max="10518" width="8.375" style="1" customWidth="1"/>
    <col min="10519" max="10519" width="8.25" style="1" customWidth="1"/>
    <col min="10520" max="10520" width="21.375" style="1" customWidth="1"/>
    <col min="10521" max="10521" width="9.375" style="1" customWidth="1"/>
    <col min="10522" max="10524" width="5.375" style="1"/>
    <col min="10525" max="10525" width="64.375" style="1" customWidth="1"/>
    <col min="10526" max="10752" width="5.375" style="1"/>
    <col min="10753" max="10753" width="8.375" style="1" customWidth="1"/>
    <col min="10754" max="10754" width="8.875" style="1" customWidth="1"/>
    <col min="10755" max="10756" width="8.375" style="1" customWidth="1"/>
    <col min="10757" max="10757" width="8.75" style="1" customWidth="1"/>
    <col min="10758" max="10774" width="8.375" style="1" customWidth="1"/>
    <col min="10775" max="10775" width="8.25" style="1" customWidth="1"/>
    <col min="10776" max="10776" width="21.375" style="1" customWidth="1"/>
    <col min="10777" max="10777" width="9.375" style="1" customWidth="1"/>
    <col min="10778" max="10780" width="5.375" style="1"/>
    <col min="10781" max="10781" width="64.375" style="1" customWidth="1"/>
    <col min="10782" max="11008" width="5.375" style="1"/>
    <col min="11009" max="11009" width="8.375" style="1" customWidth="1"/>
    <col min="11010" max="11010" width="8.875" style="1" customWidth="1"/>
    <col min="11011" max="11012" width="8.375" style="1" customWidth="1"/>
    <col min="11013" max="11013" width="8.75" style="1" customWidth="1"/>
    <col min="11014" max="11030" width="8.375" style="1" customWidth="1"/>
    <col min="11031" max="11031" width="8.25" style="1" customWidth="1"/>
    <col min="11032" max="11032" width="21.375" style="1" customWidth="1"/>
    <col min="11033" max="11033" width="9.375" style="1" customWidth="1"/>
    <col min="11034" max="11036" width="5.375" style="1"/>
    <col min="11037" max="11037" width="64.375" style="1" customWidth="1"/>
    <col min="11038" max="11264" width="5.375" style="1"/>
    <col min="11265" max="11265" width="8.375" style="1" customWidth="1"/>
    <col min="11266" max="11266" width="8.875" style="1" customWidth="1"/>
    <col min="11267" max="11268" width="8.375" style="1" customWidth="1"/>
    <col min="11269" max="11269" width="8.75" style="1" customWidth="1"/>
    <col min="11270" max="11286" width="8.375" style="1" customWidth="1"/>
    <col min="11287" max="11287" width="8.25" style="1" customWidth="1"/>
    <col min="11288" max="11288" width="21.375" style="1" customWidth="1"/>
    <col min="11289" max="11289" width="9.375" style="1" customWidth="1"/>
    <col min="11290" max="11292" width="5.375" style="1"/>
    <col min="11293" max="11293" width="64.375" style="1" customWidth="1"/>
    <col min="11294" max="11520" width="5.375" style="1"/>
    <col min="11521" max="11521" width="8.375" style="1" customWidth="1"/>
    <col min="11522" max="11522" width="8.875" style="1" customWidth="1"/>
    <col min="11523" max="11524" width="8.375" style="1" customWidth="1"/>
    <col min="11525" max="11525" width="8.75" style="1" customWidth="1"/>
    <col min="11526" max="11542" width="8.375" style="1" customWidth="1"/>
    <col min="11543" max="11543" width="8.25" style="1" customWidth="1"/>
    <col min="11544" max="11544" width="21.375" style="1" customWidth="1"/>
    <col min="11545" max="11545" width="9.375" style="1" customWidth="1"/>
    <col min="11546" max="11548" width="5.375" style="1"/>
    <col min="11549" max="11549" width="64.375" style="1" customWidth="1"/>
    <col min="11550" max="11776" width="5.375" style="1"/>
    <col min="11777" max="11777" width="8.375" style="1" customWidth="1"/>
    <col min="11778" max="11778" width="8.875" style="1" customWidth="1"/>
    <col min="11779" max="11780" width="8.375" style="1" customWidth="1"/>
    <col min="11781" max="11781" width="8.75" style="1" customWidth="1"/>
    <col min="11782" max="11798" width="8.375" style="1" customWidth="1"/>
    <col min="11799" max="11799" width="8.25" style="1" customWidth="1"/>
    <col min="11800" max="11800" width="21.375" style="1" customWidth="1"/>
    <col min="11801" max="11801" width="9.375" style="1" customWidth="1"/>
    <col min="11802" max="11804" width="5.375" style="1"/>
    <col min="11805" max="11805" width="64.375" style="1" customWidth="1"/>
    <col min="11806" max="12032" width="5.375" style="1"/>
    <col min="12033" max="12033" width="8.375" style="1" customWidth="1"/>
    <col min="12034" max="12034" width="8.875" style="1" customWidth="1"/>
    <col min="12035" max="12036" width="8.375" style="1" customWidth="1"/>
    <col min="12037" max="12037" width="8.75" style="1" customWidth="1"/>
    <col min="12038" max="12054" width="8.375" style="1" customWidth="1"/>
    <col min="12055" max="12055" width="8.25" style="1" customWidth="1"/>
    <col min="12056" max="12056" width="21.375" style="1" customWidth="1"/>
    <col min="12057" max="12057" width="9.375" style="1" customWidth="1"/>
    <col min="12058" max="12060" width="5.375" style="1"/>
    <col min="12061" max="12061" width="64.375" style="1" customWidth="1"/>
    <col min="12062" max="12288" width="5.375" style="1"/>
    <col min="12289" max="12289" width="8.375" style="1" customWidth="1"/>
    <col min="12290" max="12290" width="8.875" style="1" customWidth="1"/>
    <col min="12291" max="12292" width="8.375" style="1" customWidth="1"/>
    <col min="12293" max="12293" width="8.75" style="1" customWidth="1"/>
    <col min="12294" max="12310" width="8.375" style="1" customWidth="1"/>
    <col min="12311" max="12311" width="8.25" style="1" customWidth="1"/>
    <col min="12312" max="12312" width="21.375" style="1" customWidth="1"/>
    <col min="12313" max="12313" width="9.375" style="1" customWidth="1"/>
    <col min="12314" max="12316" width="5.375" style="1"/>
    <col min="12317" max="12317" width="64.375" style="1" customWidth="1"/>
    <col min="12318" max="12544" width="5.375" style="1"/>
    <col min="12545" max="12545" width="8.375" style="1" customWidth="1"/>
    <col min="12546" max="12546" width="8.875" style="1" customWidth="1"/>
    <col min="12547" max="12548" width="8.375" style="1" customWidth="1"/>
    <col min="12549" max="12549" width="8.75" style="1" customWidth="1"/>
    <col min="12550" max="12566" width="8.375" style="1" customWidth="1"/>
    <col min="12567" max="12567" width="8.25" style="1" customWidth="1"/>
    <col min="12568" max="12568" width="21.375" style="1" customWidth="1"/>
    <col min="12569" max="12569" width="9.375" style="1" customWidth="1"/>
    <col min="12570" max="12572" width="5.375" style="1"/>
    <col min="12573" max="12573" width="64.375" style="1" customWidth="1"/>
    <col min="12574" max="12800" width="5.375" style="1"/>
    <col min="12801" max="12801" width="8.375" style="1" customWidth="1"/>
    <col min="12802" max="12802" width="8.875" style="1" customWidth="1"/>
    <col min="12803" max="12804" width="8.375" style="1" customWidth="1"/>
    <col min="12805" max="12805" width="8.75" style="1" customWidth="1"/>
    <col min="12806" max="12822" width="8.375" style="1" customWidth="1"/>
    <col min="12823" max="12823" width="8.25" style="1" customWidth="1"/>
    <col min="12824" max="12824" width="21.375" style="1" customWidth="1"/>
    <col min="12825" max="12825" width="9.375" style="1" customWidth="1"/>
    <col min="12826" max="12828" width="5.375" style="1"/>
    <col min="12829" max="12829" width="64.375" style="1" customWidth="1"/>
    <col min="12830" max="13056" width="5.375" style="1"/>
    <col min="13057" max="13057" width="8.375" style="1" customWidth="1"/>
    <col min="13058" max="13058" width="8.875" style="1" customWidth="1"/>
    <col min="13059" max="13060" width="8.375" style="1" customWidth="1"/>
    <col min="13061" max="13061" width="8.75" style="1" customWidth="1"/>
    <col min="13062" max="13078" width="8.375" style="1" customWidth="1"/>
    <col min="13079" max="13079" width="8.25" style="1" customWidth="1"/>
    <col min="13080" max="13080" width="21.375" style="1" customWidth="1"/>
    <col min="13081" max="13081" width="9.375" style="1" customWidth="1"/>
    <col min="13082" max="13084" width="5.375" style="1"/>
    <col min="13085" max="13085" width="64.375" style="1" customWidth="1"/>
    <col min="13086" max="13312" width="5.375" style="1"/>
    <col min="13313" max="13313" width="8.375" style="1" customWidth="1"/>
    <col min="13314" max="13314" width="8.875" style="1" customWidth="1"/>
    <col min="13315" max="13316" width="8.375" style="1" customWidth="1"/>
    <col min="13317" max="13317" width="8.75" style="1" customWidth="1"/>
    <col min="13318" max="13334" width="8.375" style="1" customWidth="1"/>
    <col min="13335" max="13335" width="8.25" style="1" customWidth="1"/>
    <col min="13336" max="13336" width="21.375" style="1" customWidth="1"/>
    <col min="13337" max="13337" width="9.375" style="1" customWidth="1"/>
    <col min="13338" max="13340" width="5.375" style="1"/>
    <col min="13341" max="13341" width="64.375" style="1" customWidth="1"/>
    <col min="13342" max="13568" width="5.375" style="1"/>
    <col min="13569" max="13569" width="8.375" style="1" customWidth="1"/>
    <col min="13570" max="13570" width="8.875" style="1" customWidth="1"/>
    <col min="13571" max="13572" width="8.375" style="1" customWidth="1"/>
    <col min="13573" max="13573" width="8.75" style="1" customWidth="1"/>
    <col min="13574" max="13590" width="8.375" style="1" customWidth="1"/>
    <col min="13591" max="13591" width="8.25" style="1" customWidth="1"/>
    <col min="13592" max="13592" width="21.375" style="1" customWidth="1"/>
    <col min="13593" max="13593" width="9.375" style="1" customWidth="1"/>
    <col min="13594" max="13596" width="5.375" style="1"/>
    <col min="13597" max="13597" width="64.375" style="1" customWidth="1"/>
    <col min="13598" max="13824" width="5.375" style="1"/>
    <col min="13825" max="13825" width="8.375" style="1" customWidth="1"/>
    <col min="13826" max="13826" width="8.875" style="1" customWidth="1"/>
    <col min="13827" max="13828" width="8.375" style="1" customWidth="1"/>
    <col min="13829" max="13829" width="8.75" style="1" customWidth="1"/>
    <col min="13830" max="13846" width="8.375" style="1" customWidth="1"/>
    <col min="13847" max="13847" width="8.25" style="1" customWidth="1"/>
    <col min="13848" max="13848" width="21.375" style="1" customWidth="1"/>
    <col min="13849" max="13849" width="9.375" style="1" customWidth="1"/>
    <col min="13850" max="13852" width="5.375" style="1"/>
    <col min="13853" max="13853" width="64.375" style="1" customWidth="1"/>
    <col min="13854" max="14080" width="5.375" style="1"/>
    <col min="14081" max="14081" width="8.375" style="1" customWidth="1"/>
    <col min="14082" max="14082" width="8.875" style="1" customWidth="1"/>
    <col min="14083" max="14084" width="8.375" style="1" customWidth="1"/>
    <col min="14085" max="14085" width="8.75" style="1" customWidth="1"/>
    <col min="14086" max="14102" width="8.375" style="1" customWidth="1"/>
    <col min="14103" max="14103" width="8.25" style="1" customWidth="1"/>
    <col min="14104" max="14104" width="21.375" style="1" customWidth="1"/>
    <col min="14105" max="14105" width="9.375" style="1" customWidth="1"/>
    <col min="14106" max="14108" width="5.375" style="1"/>
    <col min="14109" max="14109" width="64.375" style="1" customWidth="1"/>
    <col min="14110" max="14336" width="5.375" style="1"/>
    <col min="14337" max="14337" width="8.375" style="1" customWidth="1"/>
    <col min="14338" max="14338" width="8.875" style="1" customWidth="1"/>
    <col min="14339" max="14340" width="8.375" style="1" customWidth="1"/>
    <col min="14341" max="14341" width="8.75" style="1" customWidth="1"/>
    <col min="14342" max="14358" width="8.375" style="1" customWidth="1"/>
    <col min="14359" max="14359" width="8.25" style="1" customWidth="1"/>
    <col min="14360" max="14360" width="21.375" style="1" customWidth="1"/>
    <col min="14361" max="14361" width="9.375" style="1" customWidth="1"/>
    <col min="14362" max="14364" width="5.375" style="1"/>
    <col min="14365" max="14365" width="64.375" style="1" customWidth="1"/>
    <col min="14366" max="14592" width="5.375" style="1"/>
    <col min="14593" max="14593" width="8.375" style="1" customWidth="1"/>
    <col min="14594" max="14594" width="8.875" style="1" customWidth="1"/>
    <col min="14595" max="14596" width="8.375" style="1" customWidth="1"/>
    <col min="14597" max="14597" width="8.75" style="1" customWidth="1"/>
    <col min="14598" max="14614" width="8.375" style="1" customWidth="1"/>
    <col min="14615" max="14615" width="8.25" style="1" customWidth="1"/>
    <col min="14616" max="14616" width="21.375" style="1" customWidth="1"/>
    <col min="14617" max="14617" width="9.375" style="1" customWidth="1"/>
    <col min="14618" max="14620" width="5.375" style="1"/>
    <col min="14621" max="14621" width="64.375" style="1" customWidth="1"/>
    <col min="14622" max="14848" width="5.375" style="1"/>
    <col min="14849" max="14849" width="8.375" style="1" customWidth="1"/>
    <col min="14850" max="14850" width="8.875" style="1" customWidth="1"/>
    <col min="14851" max="14852" width="8.375" style="1" customWidth="1"/>
    <col min="14853" max="14853" width="8.75" style="1" customWidth="1"/>
    <col min="14854" max="14870" width="8.375" style="1" customWidth="1"/>
    <col min="14871" max="14871" width="8.25" style="1" customWidth="1"/>
    <col min="14872" max="14872" width="21.375" style="1" customWidth="1"/>
    <col min="14873" max="14873" width="9.375" style="1" customWidth="1"/>
    <col min="14874" max="14876" width="5.375" style="1"/>
    <col min="14877" max="14877" width="64.375" style="1" customWidth="1"/>
    <col min="14878" max="15104" width="5.375" style="1"/>
    <col min="15105" max="15105" width="8.375" style="1" customWidth="1"/>
    <col min="15106" max="15106" width="8.875" style="1" customWidth="1"/>
    <col min="15107" max="15108" width="8.375" style="1" customWidth="1"/>
    <col min="15109" max="15109" width="8.75" style="1" customWidth="1"/>
    <col min="15110" max="15126" width="8.375" style="1" customWidth="1"/>
    <col min="15127" max="15127" width="8.25" style="1" customWidth="1"/>
    <col min="15128" max="15128" width="21.375" style="1" customWidth="1"/>
    <col min="15129" max="15129" width="9.375" style="1" customWidth="1"/>
    <col min="15130" max="15132" width="5.375" style="1"/>
    <col min="15133" max="15133" width="64.375" style="1" customWidth="1"/>
    <col min="15134" max="15360" width="5.375" style="1"/>
    <col min="15361" max="15361" width="8.375" style="1" customWidth="1"/>
    <col min="15362" max="15362" width="8.875" style="1" customWidth="1"/>
    <col min="15363" max="15364" width="8.375" style="1" customWidth="1"/>
    <col min="15365" max="15365" width="8.75" style="1" customWidth="1"/>
    <col min="15366" max="15382" width="8.375" style="1" customWidth="1"/>
    <col min="15383" max="15383" width="8.25" style="1" customWidth="1"/>
    <col min="15384" max="15384" width="21.375" style="1" customWidth="1"/>
    <col min="15385" max="15385" width="9.375" style="1" customWidth="1"/>
    <col min="15386" max="15388" width="5.375" style="1"/>
    <col min="15389" max="15389" width="64.375" style="1" customWidth="1"/>
    <col min="15390" max="15616" width="5.375" style="1"/>
    <col min="15617" max="15617" width="8.375" style="1" customWidth="1"/>
    <col min="15618" max="15618" width="8.875" style="1" customWidth="1"/>
    <col min="15619" max="15620" width="8.375" style="1" customWidth="1"/>
    <col min="15621" max="15621" width="8.75" style="1" customWidth="1"/>
    <col min="15622" max="15638" width="8.375" style="1" customWidth="1"/>
    <col min="15639" max="15639" width="8.25" style="1" customWidth="1"/>
    <col min="15640" max="15640" width="21.375" style="1" customWidth="1"/>
    <col min="15641" max="15641" width="9.375" style="1" customWidth="1"/>
    <col min="15642" max="15644" width="5.375" style="1"/>
    <col min="15645" max="15645" width="64.375" style="1" customWidth="1"/>
    <col min="15646" max="15872" width="5.375" style="1"/>
    <col min="15873" max="15873" width="8.375" style="1" customWidth="1"/>
    <col min="15874" max="15874" width="8.875" style="1" customWidth="1"/>
    <col min="15875" max="15876" width="8.375" style="1" customWidth="1"/>
    <col min="15877" max="15877" width="8.75" style="1" customWidth="1"/>
    <col min="15878" max="15894" width="8.375" style="1" customWidth="1"/>
    <col min="15895" max="15895" width="8.25" style="1" customWidth="1"/>
    <col min="15896" max="15896" width="21.375" style="1" customWidth="1"/>
    <col min="15897" max="15897" width="9.375" style="1" customWidth="1"/>
    <col min="15898" max="15900" width="5.375" style="1"/>
    <col min="15901" max="15901" width="64.375" style="1" customWidth="1"/>
    <col min="15902" max="16128" width="5.375" style="1"/>
    <col min="16129" max="16129" width="8.375" style="1" customWidth="1"/>
    <col min="16130" max="16130" width="8.875" style="1" customWidth="1"/>
    <col min="16131" max="16132" width="8.375" style="1" customWidth="1"/>
    <col min="16133" max="16133" width="8.75" style="1" customWidth="1"/>
    <col min="16134" max="16150" width="8.375" style="1" customWidth="1"/>
    <col min="16151" max="16151" width="8.25" style="1" customWidth="1"/>
    <col min="16152" max="16152" width="21.375" style="1" customWidth="1"/>
    <col min="16153" max="16153" width="9.375" style="1" customWidth="1"/>
    <col min="16154" max="16156" width="5.375" style="1"/>
    <col min="16157" max="16157" width="64.375" style="1" customWidth="1"/>
    <col min="16158" max="16384" width="5.375" style="1"/>
  </cols>
  <sheetData>
    <row r="1" spans="1:25" ht="20.25" customHeight="1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</row>
    <row r="2" spans="1:25" ht="30" customHeight="1">
      <c r="A2" s="210"/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</row>
    <row r="3" spans="1:25" s="2" customFormat="1" ht="28.5" customHeight="1"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5" s="2" customFormat="1" ht="30" customHeight="1">
      <c r="A4" s="211"/>
      <c r="B4" s="211"/>
      <c r="C4" s="212"/>
      <c r="D4" s="212"/>
      <c r="E4" s="212"/>
      <c r="F4" s="212"/>
      <c r="G4" s="212"/>
      <c r="H4" s="212"/>
      <c r="I4" s="3"/>
      <c r="J4" s="3"/>
      <c r="K4" s="3"/>
      <c r="L4" s="213" t="s">
        <v>1</v>
      </c>
      <c r="M4" s="203" t="s">
        <v>2</v>
      </c>
      <c r="N4" s="204"/>
      <c r="O4" s="205" t="s">
        <v>3</v>
      </c>
      <c r="P4" s="206"/>
      <c r="Q4" s="206"/>
      <c r="R4" s="206"/>
      <c r="S4" s="206"/>
      <c r="T4" s="206"/>
      <c r="U4" s="206"/>
      <c r="V4" s="207"/>
    </row>
    <row r="5" spans="1:25" s="2" customFormat="1" ht="30" customHeight="1">
      <c r="A5" s="216"/>
      <c r="B5" s="216"/>
      <c r="C5" s="216"/>
      <c r="D5" s="216"/>
      <c r="E5" s="216"/>
      <c r="F5" s="216"/>
      <c r="G5" s="216"/>
      <c r="H5" s="218" t="s">
        <v>4</v>
      </c>
      <c r="I5" s="3"/>
      <c r="J5" s="3"/>
      <c r="K5" s="3"/>
      <c r="L5" s="214"/>
      <c r="M5" s="203" t="s">
        <v>5</v>
      </c>
      <c r="N5" s="204"/>
      <c r="O5" s="205" t="s">
        <v>6</v>
      </c>
      <c r="P5" s="206"/>
      <c r="Q5" s="206"/>
      <c r="R5" s="206"/>
      <c r="S5" s="206"/>
      <c r="T5" s="206"/>
      <c r="U5" s="206"/>
      <c r="V5" s="207"/>
    </row>
    <row r="6" spans="1:25" s="2" customFormat="1" ht="30" customHeight="1" thickBot="1">
      <c r="A6" s="217"/>
      <c r="B6" s="217"/>
      <c r="C6" s="217"/>
      <c r="D6" s="217"/>
      <c r="E6" s="217"/>
      <c r="F6" s="217"/>
      <c r="G6" s="217"/>
      <c r="H6" s="219"/>
      <c r="I6" s="3"/>
      <c r="J6" s="3"/>
      <c r="K6" s="3"/>
      <c r="L6" s="214"/>
      <c r="M6" s="203" t="s">
        <v>7</v>
      </c>
      <c r="N6" s="204"/>
      <c r="O6" s="205" t="s">
        <v>8</v>
      </c>
      <c r="P6" s="206"/>
      <c r="Q6" s="206"/>
      <c r="R6" s="206"/>
      <c r="S6" s="206"/>
      <c r="T6" s="206"/>
      <c r="U6" s="206"/>
      <c r="V6" s="207"/>
    </row>
    <row r="7" spans="1:25" s="2" customFormat="1" ht="30" customHeight="1" thickTop="1">
      <c r="D7" s="3"/>
      <c r="E7" s="3"/>
      <c r="F7" s="3"/>
      <c r="G7" s="3"/>
      <c r="H7" s="3"/>
      <c r="I7" s="3"/>
      <c r="J7" s="3"/>
      <c r="K7" s="3"/>
      <c r="L7" s="215"/>
      <c r="M7" s="203" t="s">
        <v>9</v>
      </c>
      <c r="N7" s="204"/>
      <c r="O7" s="205" t="s">
        <v>10</v>
      </c>
      <c r="P7" s="206"/>
      <c r="Q7" s="206"/>
      <c r="R7" s="206"/>
      <c r="S7" s="206"/>
      <c r="T7" s="206"/>
      <c r="U7" s="206"/>
      <c r="V7" s="207"/>
    </row>
    <row r="8" spans="1:25" s="2" customFormat="1" ht="6.75" customHeight="1">
      <c r="A8" s="4"/>
      <c r="B8" s="4"/>
      <c r="C8" s="4"/>
      <c r="D8" s="4"/>
      <c r="E8" s="4"/>
      <c r="F8" s="4"/>
      <c r="G8" s="4"/>
      <c r="H8" s="4"/>
      <c r="I8" s="3"/>
      <c r="J8" s="3"/>
      <c r="K8" s="3"/>
      <c r="L8" s="5"/>
      <c r="M8" s="5"/>
      <c r="N8" s="5"/>
      <c r="O8" s="5"/>
      <c r="P8" s="5"/>
      <c r="Q8" s="5"/>
      <c r="R8" s="5"/>
      <c r="S8" s="5"/>
      <c r="T8" s="5"/>
      <c r="U8" s="5"/>
      <c r="V8" s="6"/>
    </row>
    <row r="9" spans="1:25" s="8" customFormat="1" ht="24" customHeight="1">
      <c r="A9" s="208" t="s">
        <v>11</v>
      </c>
      <c r="B9" s="208"/>
      <c r="C9" s="208"/>
      <c r="D9" s="209"/>
      <c r="E9" s="209"/>
      <c r="F9" s="209"/>
      <c r="G9" s="209"/>
      <c r="H9" s="209"/>
      <c r="I9" s="209"/>
      <c r="J9" s="209"/>
      <c r="K9" s="7"/>
      <c r="L9" s="188" t="s">
        <v>12</v>
      </c>
      <c r="M9" s="188"/>
      <c r="N9" s="188"/>
      <c r="O9" s="189" t="s">
        <v>13</v>
      </c>
      <c r="P9" s="189"/>
      <c r="Q9" s="189"/>
      <c r="R9" s="189"/>
      <c r="S9" s="189"/>
      <c r="T9" s="189"/>
      <c r="U9" s="189"/>
      <c r="V9" s="189"/>
    </row>
    <row r="10" spans="1:25" s="12" customFormat="1" ht="24" customHeight="1">
      <c r="A10" s="9" t="s">
        <v>14</v>
      </c>
      <c r="B10" s="9"/>
      <c r="C10" s="10"/>
      <c r="D10" s="200"/>
      <c r="E10" s="200"/>
      <c r="F10" s="200"/>
      <c r="G10" s="200"/>
      <c r="H10" s="200"/>
      <c r="I10" s="200"/>
      <c r="J10" s="200"/>
      <c r="K10" s="11"/>
      <c r="L10" s="188" t="s">
        <v>15</v>
      </c>
      <c r="M10" s="188"/>
      <c r="N10" s="188"/>
      <c r="O10" s="189" t="s">
        <v>16</v>
      </c>
      <c r="P10" s="189"/>
      <c r="Q10" s="189"/>
      <c r="R10" s="189"/>
      <c r="S10" s="189"/>
      <c r="T10" s="189"/>
      <c r="U10" s="189"/>
      <c r="V10" s="189"/>
    </row>
    <row r="11" spans="1:25" s="12" customFormat="1" ht="27" customHeight="1">
      <c r="A11" s="9" t="s">
        <v>17</v>
      </c>
      <c r="B11" s="9"/>
      <c r="C11" s="10"/>
      <c r="D11" s="200"/>
      <c r="E11" s="200"/>
      <c r="F11" s="200"/>
      <c r="G11" s="200"/>
      <c r="H11" s="200"/>
      <c r="I11" s="200"/>
      <c r="J11" s="200"/>
      <c r="L11" s="188" t="s">
        <v>18</v>
      </c>
      <c r="M11" s="188"/>
      <c r="N11" s="188"/>
      <c r="O11" s="201" t="s">
        <v>19</v>
      </c>
      <c r="P11" s="202"/>
      <c r="Q11" s="202"/>
      <c r="R11" s="202"/>
      <c r="S11" s="202"/>
      <c r="T11" s="202"/>
      <c r="U11" s="202"/>
      <c r="V11" s="202"/>
    </row>
    <row r="12" spans="1:25" s="12" customFormat="1" ht="27" customHeight="1">
      <c r="A12" s="13" t="s">
        <v>20</v>
      </c>
      <c r="B12" s="13"/>
      <c r="C12" s="10"/>
      <c r="D12" s="187"/>
      <c r="E12" s="187"/>
      <c r="F12" s="187"/>
      <c r="G12" s="187"/>
      <c r="H12" s="187"/>
      <c r="I12" s="187"/>
      <c r="J12" s="187"/>
      <c r="L12" s="188" t="s">
        <v>21</v>
      </c>
      <c r="M12" s="188"/>
      <c r="N12" s="188"/>
      <c r="O12" s="189" t="s">
        <v>22</v>
      </c>
      <c r="P12" s="189"/>
      <c r="Q12" s="189"/>
      <c r="R12" s="189"/>
      <c r="S12" s="189"/>
      <c r="T12" s="189"/>
      <c r="U12" s="189"/>
      <c r="V12" s="189"/>
      <c r="Y12" s="14"/>
    </row>
    <row r="13" spans="1:25" s="12" customFormat="1" ht="10.5" customHeight="1" thickBot="1">
      <c r="A13" s="15"/>
      <c r="B13" s="15"/>
      <c r="C13" s="15"/>
      <c r="D13" s="15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5" s="19" customFormat="1" ht="36.950000000000003" customHeight="1">
      <c r="A14" s="190" t="s">
        <v>23</v>
      </c>
      <c r="B14" s="191"/>
      <c r="C14" s="17"/>
      <c r="D14" s="192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4"/>
      <c r="V14" s="18"/>
    </row>
    <row r="15" spans="1:25" s="19" customFormat="1" ht="36.950000000000003" customHeight="1">
      <c r="A15" s="195" t="s">
        <v>24</v>
      </c>
      <c r="B15" s="196"/>
      <c r="C15" s="20"/>
      <c r="D15" s="197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9"/>
      <c r="V15" s="21"/>
    </row>
    <row r="16" spans="1:25" s="19" customFormat="1" ht="36.950000000000003" customHeight="1" thickBot="1">
      <c r="A16" s="176" t="s">
        <v>25</v>
      </c>
      <c r="B16" s="177"/>
      <c r="C16" s="178"/>
      <c r="D16" s="178"/>
      <c r="E16" s="178"/>
      <c r="F16" s="178"/>
      <c r="G16" s="178"/>
      <c r="H16" s="179"/>
      <c r="I16" s="22" t="s">
        <v>26</v>
      </c>
      <c r="J16" s="180"/>
      <c r="K16" s="178"/>
      <c r="L16" s="178"/>
      <c r="M16" s="178"/>
      <c r="N16" s="178"/>
      <c r="O16" s="178"/>
      <c r="P16" s="178"/>
      <c r="Q16" s="181"/>
      <c r="R16" s="181"/>
      <c r="S16" s="181"/>
      <c r="T16" s="181"/>
      <c r="U16" s="181"/>
      <c r="V16" s="182"/>
    </row>
    <row r="17" spans="1:29" s="19" customFormat="1" ht="9.75" customHeight="1" thickBot="1">
      <c r="A17" s="183"/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</row>
    <row r="18" spans="1:29" s="19" customFormat="1" ht="36.950000000000003" customHeight="1" thickBot="1">
      <c r="A18" s="184" t="s">
        <v>27</v>
      </c>
      <c r="B18" s="185"/>
      <c r="C18" s="185"/>
      <c r="D18" s="185"/>
      <c r="E18" s="185"/>
      <c r="F18" s="160" t="s">
        <v>28</v>
      </c>
      <c r="G18" s="160"/>
      <c r="H18" s="160"/>
      <c r="I18" s="160" t="s">
        <v>29</v>
      </c>
      <c r="J18" s="160"/>
      <c r="K18" s="160"/>
      <c r="L18" s="160" t="s">
        <v>30</v>
      </c>
      <c r="M18" s="161"/>
      <c r="N18" s="186" t="s">
        <v>31</v>
      </c>
      <c r="O18" s="160"/>
      <c r="P18" s="160"/>
      <c r="Q18" s="160" t="s">
        <v>32</v>
      </c>
      <c r="R18" s="160"/>
      <c r="S18" s="161"/>
      <c r="T18" s="162" t="s">
        <v>33</v>
      </c>
      <c r="U18" s="160"/>
      <c r="V18" s="163"/>
    </row>
    <row r="19" spans="1:29" s="19" customFormat="1" ht="36.950000000000003" customHeight="1" thickTop="1">
      <c r="A19" s="164" t="s">
        <v>34</v>
      </c>
      <c r="B19" s="165"/>
      <c r="C19" s="168" t="s">
        <v>35</v>
      </c>
      <c r="D19" s="168"/>
      <c r="E19" s="168"/>
      <c r="F19" s="169"/>
      <c r="G19" s="170"/>
      <c r="H19" s="23" t="s">
        <v>36</v>
      </c>
      <c r="I19" s="169"/>
      <c r="J19" s="170"/>
      <c r="K19" s="24" t="s">
        <v>37</v>
      </c>
      <c r="L19" s="171"/>
      <c r="M19" s="171"/>
      <c r="N19" s="171">
        <f>F19*I19*L19</f>
        <v>0</v>
      </c>
      <c r="O19" s="171"/>
      <c r="P19" s="171"/>
      <c r="Q19" s="172">
        <f t="shared" ref="Q19:Q28" si="0">N19*0.1</f>
        <v>0</v>
      </c>
      <c r="R19" s="172"/>
      <c r="S19" s="173"/>
      <c r="T19" s="174">
        <f>SUM(N19:S19)</f>
        <v>0</v>
      </c>
      <c r="U19" s="174"/>
      <c r="V19" s="175"/>
      <c r="X19" s="25"/>
      <c r="Y19" s="26"/>
    </row>
    <row r="20" spans="1:29" s="19" customFormat="1" ht="36.950000000000003" customHeight="1">
      <c r="A20" s="166"/>
      <c r="B20" s="167"/>
      <c r="C20" s="152" t="s">
        <v>38</v>
      </c>
      <c r="D20" s="152"/>
      <c r="E20" s="152"/>
      <c r="F20" s="152"/>
      <c r="G20" s="153"/>
      <c r="H20" s="24" t="s">
        <v>39</v>
      </c>
      <c r="I20" s="154"/>
      <c r="J20" s="155"/>
      <c r="K20" s="24" t="s">
        <v>40</v>
      </c>
      <c r="L20" s="156"/>
      <c r="M20" s="156"/>
      <c r="N20" s="156">
        <f>F20*I20*L20</f>
        <v>0</v>
      </c>
      <c r="O20" s="156"/>
      <c r="P20" s="156"/>
      <c r="Q20" s="150">
        <f t="shared" si="0"/>
        <v>0</v>
      </c>
      <c r="R20" s="150"/>
      <c r="S20" s="157"/>
      <c r="T20" s="150">
        <f>SUM(N20:S20)</f>
        <v>0</v>
      </c>
      <c r="U20" s="150"/>
      <c r="V20" s="151"/>
      <c r="X20" s="25"/>
      <c r="Y20" s="26"/>
    </row>
    <row r="21" spans="1:29" s="19" customFormat="1" ht="36.950000000000003" customHeight="1">
      <c r="A21" s="166"/>
      <c r="B21" s="167"/>
      <c r="C21" s="152" t="s">
        <v>41</v>
      </c>
      <c r="D21" s="152"/>
      <c r="E21" s="152"/>
      <c r="F21" s="152"/>
      <c r="G21" s="153"/>
      <c r="H21" s="24" t="s">
        <v>39</v>
      </c>
      <c r="I21" s="154"/>
      <c r="J21" s="155"/>
      <c r="K21" s="24" t="s">
        <v>40</v>
      </c>
      <c r="L21" s="156"/>
      <c r="M21" s="156"/>
      <c r="N21" s="156">
        <f t="shared" ref="N21:N26" si="1">F21*I21*L21</f>
        <v>0</v>
      </c>
      <c r="O21" s="156"/>
      <c r="P21" s="156"/>
      <c r="Q21" s="150">
        <f t="shared" si="0"/>
        <v>0</v>
      </c>
      <c r="R21" s="150"/>
      <c r="S21" s="157"/>
      <c r="T21" s="150">
        <f t="shared" ref="T21:T28" si="2">SUM(N21:S21)</f>
        <v>0</v>
      </c>
      <c r="U21" s="150"/>
      <c r="V21" s="151"/>
      <c r="X21" s="25"/>
      <c r="Y21" s="26"/>
    </row>
    <row r="22" spans="1:29" s="19" customFormat="1" ht="36.950000000000003" customHeight="1">
      <c r="A22" s="158" t="s">
        <v>42</v>
      </c>
      <c r="B22" s="159"/>
      <c r="C22" s="152" t="s">
        <v>43</v>
      </c>
      <c r="D22" s="152"/>
      <c r="E22" s="152"/>
      <c r="F22" s="152"/>
      <c r="G22" s="153"/>
      <c r="H22" s="24" t="s">
        <v>44</v>
      </c>
      <c r="I22" s="154"/>
      <c r="J22" s="155"/>
      <c r="K22" s="24" t="s">
        <v>40</v>
      </c>
      <c r="L22" s="156"/>
      <c r="M22" s="156"/>
      <c r="N22" s="156">
        <f>F22*I22*L22</f>
        <v>0</v>
      </c>
      <c r="O22" s="156"/>
      <c r="P22" s="156"/>
      <c r="Q22" s="150">
        <f t="shared" si="0"/>
        <v>0</v>
      </c>
      <c r="R22" s="150"/>
      <c r="S22" s="157"/>
      <c r="T22" s="150">
        <f t="shared" si="2"/>
        <v>0</v>
      </c>
      <c r="U22" s="150"/>
      <c r="V22" s="151"/>
      <c r="X22" s="27"/>
    </row>
    <row r="23" spans="1:29" s="19" customFormat="1" ht="36.950000000000003" customHeight="1">
      <c r="A23" s="158"/>
      <c r="B23" s="159"/>
      <c r="C23" s="152" t="s">
        <v>45</v>
      </c>
      <c r="D23" s="152"/>
      <c r="E23" s="152"/>
      <c r="F23" s="152"/>
      <c r="G23" s="153"/>
      <c r="H23" s="24" t="s">
        <v>46</v>
      </c>
      <c r="I23" s="154"/>
      <c r="J23" s="155"/>
      <c r="K23" s="24" t="s">
        <v>40</v>
      </c>
      <c r="L23" s="156"/>
      <c r="M23" s="156"/>
      <c r="N23" s="156">
        <f t="shared" si="1"/>
        <v>0</v>
      </c>
      <c r="O23" s="156"/>
      <c r="P23" s="156"/>
      <c r="Q23" s="150">
        <f t="shared" si="0"/>
        <v>0</v>
      </c>
      <c r="R23" s="150"/>
      <c r="S23" s="157"/>
      <c r="T23" s="150">
        <f t="shared" si="2"/>
        <v>0</v>
      </c>
      <c r="U23" s="150"/>
      <c r="V23" s="151"/>
      <c r="X23" s="27"/>
    </row>
    <row r="24" spans="1:29" s="19" customFormat="1" ht="36.950000000000003" customHeight="1">
      <c r="A24" s="158"/>
      <c r="B24" s="159"/>
      <c r="C24" s="152" t="s">
        <v>47</v>
      </c>
      <c r="D24" s="152"/>
      <c r="E24" s="152"/>
      <c r="F24" s="152"/>
      <c r="G24" s="153"/>
      <c r="H24" s="24" t="s">
        <v>46</v>
      </c>
      <c r="I24" s="154"/>
      <c r="J24" s="155"/>
      <c r="K24" s="24" t="s">
        <v>40</v>
      </c>
      <c r="L24" s="156"/>
      <c r="M24" s="156"/>
      <c r="N24" s="156">
        <f t="shared" si="1"/>
        <v>0</v>
      </c>
      <c r="O24" s="156"/>
      <c r="P24" s="156"/>
      <c r="Q24" s="150">
        <f t="shared" si="0"/>
        <v>0</v>
      </c>
      <c r="R24" s="150"/>
      <c r="S24" s="157"/>
      <c r="T24" s="150">
        <f t="shared" si="2"/>
        <v>0</v>
      </c>
      <c r="U24" s="150"/>
      <c r="V24" s="151"/>
      <c r="X24" s="25"/>
    </row>
    <row r="25" spans="1:29" s="19" customFormat="1" ht="36.950000000000003" customHeight="1">
      <c r="A25" s="158"/>
      <c r="B25" s="159"/>
      <c r="C25" s="152" t="s">
        <v>48</v>
      </c>
      <c r="D25" s="152"/>
      <c r="E25" s="152"/>
      <c r="F25" s="152"/>
      <c r="G25" s="153"/>
      <c r="H25" s="24" t="s">
        <v>49</v>
      </c>
      <c r="I25" s="154"/>
      <c r="J25" s="155"/>
      <c r="K25" s="24" t="s">
        <v>40</v>
      </c>
      <c r="L25" s="156"/>
      <c r="M25" s="156"/>
      <c r="N25" s="156">
        <f t="shared" si="1"/>
        <v>0</v>
      </c>
      <c r="O25" s="156"/>
      <c r="P25" s="156"/>
      <c r="Q25" s="150">
        <f t="shared" si="0"/>
        <v>0</v>
      </c>
      <c r="R25" s="150"/>
      <c r="S25" s="157"/>
      <c r="T25" s="150">
        <f t="shared" si="2"/>
        <v>0</v>
      </c>
      <c r="U25" s="150"/>
      <c r="V25" s="151"/>
      <c r="X25" s="28"/>
    </row>
    <row r="26" spans="1:29" s="19" customFormat="1" ht="36.950000000000003" customHeight="1">
      <c r="A26" s="158"/>
      <c r="B26" s="159"/>
      <c r="C26" s="152" t="s">
        <v>50</v>
      </c>
      <c r="D26" s="152"/>
      <c r="E26" s="152"/>
      <c r="F26" s="152"/>
      <c r="G26" s="153"/>
      <c r="H26" s="24" t="s">
        <v>46</v>
      </c>
      <c r="I26" s="154"/>
      <c r="J26" s="155"/>
      <c r="K26" s="24" t="s">
        <v>51</v>
      </c>
      <c r="L26" s="156"/>
      <c r="M26" s="156"/>
      <c r="N26" s="156">
        <f t="shared" si="1"/>
        <v>0</v>
      </c>
      <c r="O26" s="156"/>
      <c r="P26" s="156"/>
      <c r="Q26" s="150">
        <f t="shared" si="0"/>
        <v>0</v>
      </c>
      <c r="R26" s="150"/>
      <c r="S26" s="157"/>
      <c r="T26" s="150">
        <f t="shared" si="2"/>
        <v>0</v>
      </c>
      <c r="U26" s="150"/>
      <c r="V26" s="151"/>
      <c r="X26" s="27"/>
    </row>
    <row r="27" spans="1:29" s="19" customFormat="1" ht="36.950000000000003" hidden="1" customHeight="1">
      <c r="A27" s="158"/>
      <c r="B27" s="159"/>
      <c r="C27" s="152" t="s">
        <v>52</v>
      </c>
      <c r="D27" s="152"/>
      <c r="E27" s="152"/>
      <c r="F27" s="152"/>
      <c r="G27" s="153"/>
      <c r="H27" s="24" t="s">
        <v>46</v>
      </c>
      <c r="I27" s="154"/>
      <c r="J27" s="155"/>
      <c r="K27" s="24" t="s">
        <v>40</v>
      </c>
      <c r="L27" s="156"/>
      <c r="M27" s="156"/>
      <c r="N27" s="156">
        <f>F27*I27*L27</f>
        <v>0</v>
      </c>
      <c r="O27" s="156"/>
      <c r="P27" s="156"/>
      <c r="Q27" s="150">
        <f>N27*0.1</f>
        <v>0</v>
      </c>
      <c r="R27" s="150"/>
      <c r="S27" s="157"/>
      <c r="T27" s="150">
        <f>SUM(N27:S27)</f>
        <v>0</v>
      </c>
      <c r="U27" s="150"/>
      <c r="V27" s="151"/>
      <c r="X27" s="27"/>
    </row>
    <row r="28" spans="1:29" s="19" customFormat="1" ht="36.950000000000003" customHeight="1">
      <c r="A28" s="158"/>
      <c r="B28" s="159"/>
      <c r="C28" s="152" t="s">
        <v>53</v>
      </c>
      <c r="D28" s="152"/>
      <c r="E28" s="152"/>
      <c r="F28" s="152"/>
      <c r="G28" s="153"/>
      <c r="H28" s="24" t="s">
        <v>49</v>
      </c>
      <c r="I28" s="154"/>
      <c r="J28" s="155"/>
      <c r="K28" s="24" t="s">
        <v>40</v>
      </c>
      <c r="L28" s="156"/>
      <c r="M28" s="156"/>
      <c r="N28" s="156">
        <f>F28*I28*L28</f>
        <v>0</v>
      </c>
      <c r="O28" s="156"/>
      <c r="P28" s="156"/>
      <c r="Q28" s="150">
        <f t="shared" si="0"/>
        <v>0</v>
      </c>
      <c r="R28" s="150"/>
      <c r="S28" s="157"/>
      <c r="T28" s="150">
        <f t="shared" si="2"/>
        <v>0</v>
      </c>
      <c r="U28" s="150"/>
      <c r="V28" s="151"/>
      <c r="X28" s="27"/>
      <c r="Y28" s="29"/>
    </row>
    <row r="29" spans="1:29" s="19" customFormat="1" ht="36.950000000000003" customHeight="1">
      <c r="A29" s="158"/>
      <c r="B29" s="159"/>
      <c r="C29" s="152" t="s">
        <v>54</v>
      </c>
      <c r="D29" s="152"/>
      <c r="E29" s="152"/>
      <c r="F29" s="152"/>
      <c r="G29" s="153"/>
      <c r="H29" s="24" t="s">
        <v>46</v>
      </c>
      <c r="I29" s="154"/>
      <c r="J29" s="155"/>
      <c r="K29" s="24" t="s">
        <v>40</v>
      </c>
      <c r="L29" s="156"/>
      <c r="M29" s="156"/>
      <c r="N29" s="156">
        <f>F29*I29*L29</f>
        <v>0</v>
      </c>
      <c r="O29" s="156"/>
      <c r="P29" s="156"/>
      <c r="Q29" s="150">
        <f>N29*0.1</f>
        <v>0</v>
      </c>
      <c r="R29" s="150"/>
      <c r="S29" s="157"/>
      <c r="T29" s="150">
        <f>SUM(N29:S29)</f>
        <v>0</v>
      </c>
      <c r="U29" s="150"/>
      <c r="V29" s="151"/>
      <c r="X29" s="27"/>
      <c r="Y29" s="30"/>
    </row>
    <row r="30" spans="1:29" s="19" customFormat="1" ht="36.950000000000003" hidden="1" customHeight="1">
      <c r="A30" s="132" t="s">
        <v>55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4"/>
      <c r="N30" s="135">
        <f>SUM(N19:P29)</f>
        <v>0</v>
      </c>
      <c r="O30" s="136"/>
      <c r="P30" s="137"/>
      <c r="Q30" s="138">
        <f>N30*0.1</f>
        <v>0</v>
      </c>
      <c r="R30" s="139"/>
      <c r="S30" s="140"/>
      <c r="T30" s="138">
        <f>SUM(N30:S30)</f>
        <v>0</v>
      </c>
      <c r="U30" s="139"/>
      <c r="V30" s="141"/>
      <c r="Y30" s="30"/>
    </row>
    <row r="31" spans="1:29" s="19" customFormat="1" ht="36.950000000000003" hidden="1" customHeight="1">
      <c r="A31" s="142" t="s">
        <v>56</v>
      </c>
      <c r="B31" s="143"/>
      <c r="C31" s="143"/>
      <c r="D31" s="143"/>
      <c r="E31" s="144"/>
      <c r="F31" s="145" t="s">
        <v>57</v>
      </c>
      <c r="G31" s="146"/>
      <c r="H31" s="146"/>
      <c r="I31" s="146"/>
      <c r="J31" s="146"/>
      <c r="K31" s="31"/>
      <c r="L31" s="147" t="s">
        <v>58</v>
      </c>
      <c r="M31" s="147"/>
      <c r="N31" s="148">
        <f>-SUM(T19:V29)*K31</f>
        <v>0</v>
      </c>
      <c r="O31" s="148"/>
      <c r="P31" s="148"/>
      <c r="Q31" s="148"/>
      <c r="R31" s="148"/>
      <c r="S31" s="148"/>
      <c r="T31" s="148"/>
      <c r="U31" s="148"/>
      <c r="V31" s="149"/>
      <c r="Y31" s="30"/>
    </row>
    <row r="32" spans="1:29" s="19" customFormat="1" ht="51.75" customHeight="1" thickBot="1">
      <c r="A32" s="120" t="s">
        <v>59</v>
      </c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93">
        <f>T32/1.1</f>
        <v>0</v>
      </c>
      <c r="O32" s="93"/>
      <c r="P32" s="93"/>
      <c r="Q32" s="93">
        <f>N32*0.1</f>
        <v>0</v>
      </c>
      <c r="R32" s="93"/>
      <c r="S32" s="93"/>
      <c r="T32" s="93">
        <f>T30+N31</f>
        <v>0</v>
      </c>
      <c r="U32" s="93"/>
      <c r="V32" s="122"/>
      <c r="X32" s="25"/>
      <c r="Y32" s="30"/>
      <c r="AC32" s="26"/>
    </row>
    <row r="33" spans="1:29" s="19" customFormat="1" ht="15.75" customHeight="1" thickBot="1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Y33" s="30"/>
    </row>
    <row r="34" spans="1:29" s="19" customFormat="1" ht="38.25" customHeight="1">
      <c r="A34" s="124" t="s">
        <v>60</v>
      </c>
      <c r="B34" s="125"/>
      <c r="C34" s="128" t="s">
        <v>61</v>
      </c>
      <c r="D34" s="128"/>
      <c r="E34" s="128"/>
      <c r="F34" s="129"/>
      <c r="G34" s="130"/>
      <c r="H34" s="32"/>
      <c r="I34" s="129"/>
      <c r="J34" s="131"/>
      <c r="K34" s="32" t="s">
        <v>62</v>
      </c>
      <c r="L34" s="103"/>
      <c r="M34" s="103"/>
      <c r="N34" s="103">
        <f>I34*L34</f>
        <v>0</v>
      </c>
      <c r="O34" s="103"/>
      <c r="P34" s="103"/>
      <c r="Q34" s="104">
        <f>N34*0.1</f>
        <v>0</v>
      </c>
      <c r="R34" s="104"/>
      <c r="S34" s="105"/>
      <c r="T34" s="104">
        <f>SUM(N34:S34)</f>
        <v>0</v>
      </c>
      <c r="U34" s="104"/>
      <c r="V34" s="106"/>
      <c r="X34" s="33"/>
    </row>
    <row r="35" spans="1:29" s="19" customFormat="1" ht="38.25" customHeight="1">
      <c r="A35" s="126"/>
      <c r="B35" s="127"/>
      <c r="C35" s="107" t="s">
        <v>63</v>
      </c>
      <c r="D35" s="108"/>
      <c r="E35" s="109"/>
      <c r="F35" s="110"/>
      <c r="G35" s="111"/>
      <c r="H35" s="34"/>
      <c r="I35" s="112"/>
      <c r="J35" s="113"/>
      <c r="K35" s="34" t="s">
        <v>62</v>
      </c>
      <c r="L35" s="114"/>
      <c r="M35" s="115"/>
      <c r="N35" s="116">
        <f>I35*L35</f>
        <v>0</v>
      </c>
      <c r="O35" s="116"/>
      <c r="P35" s="116"/>
      <c r="Q35" s="117">
        <f>N35*0.1</f>
        <v>0</v>
      </c>
      <c r="R35" s="117"/>
      <c r="S35" s="118"/>
      <c r="T35" s="117">
        <f>SUM(N35:S35)</f>
        <v>0</v>
      </c>
      <c r="U35" s="117"/>
      <c r="V35" s="119"/>
      <c r="X35" s="35"/>
    </row>
    <row r="36" spans="1:29" s="19" customFormat="1" ht="48" customHeight="1" thickBot="1">
      <c r="A36" s="90" t="s">
        <v>64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2"/>
      <c r="N36" s="93">
        <f>SUM(N34:N35)</f>
        <v>0</v>
      </c>
      <c r="O36" s="93"/>
      <c r="P36" s="93"/>
      <c r="Q36" s="94">
        <f>N36*0.1</f>
        <v>0</v>
      </c>
      <c r="R36" s="94"/>
      <c r="S36" s="95"/>
      <c r="T36" s="94">
        <f>SUM(N36:S36)</f>
        <v>0</v>
      </c>
      <c r="U36" s="94"/>
      <c r="V36" s="96"/>
      <c r="W36" s="36"/>
      <c r="X36" s="35"/>
    </row>
    <row r="37" spans="1:29" s="19" customFormat="1" ht="12.75" customHeight="1" thickBo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8"/>
      <c r="O37" s="38"/>
      <c r="P37" s="38"/>
      <c r="Q37" s="39"/>
      <c r="R37" s="39"/>
      <c r="S37" s="39"/>
      <c r="T37" s="39"/>
      <c r="U37" s="39"/>
      <c r="V37" s="39"/>
      <c r="X37" s="35"/>
    </row>
    <row r="38" spans="1:29" s="19" customFormat="1" ht="46.5" customHeight="1" thickBot="1">
      <c r="A38" s="97" t="s">
        <v>65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9"/>
      <c r="N38" s="100">
        <f>N32+N36</f>
        <v>0</v>
      </c>
      <c r="O38" s="100"/>
      <c r="P38" s="100"/>
      <c r="Q38" s="100">
        <f>N38*0.1</f>
        <v>0</v>
      </c>
      <c r="R38" s="100"/>
      <c r="S38" s="101"/>
      <c r="T38" s="100">
        <f>N38+Q38</f>
        <v>0</v>
      </c>
      <c r="U38" s="100"/>
      <c r="V38" s="102"/>
      <c r="X38" s="35"/>
      <c r="AC38" s="40"/>
    </row>
    <row r="39" spans="1:29" s="44" customFormat="1" ht="6.75" customHeight="1">
      <c r="A39" s="41"/>
      <c r="B39" s="42"/>
      <c r="C39" s="42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2"/>
      <c r="Q39" s="42"/>
      <c r="R39" s="42"/>
      <c r="S39" s="42"/>
      <c r="T39" s="43"/>
      <c r="U39" s="43"/>
      <c r="V39" s="42"/>
    </row>
    <row r="40" spans="1:29" s="44" customFormat="1" ht="36.950000000000003" customHeight="1" thickBot="1">
      <c r="A40" s="19" t="s">
        <v>66</v>
      </c>
    </row>
    <row r="41" spans="1:29" s="19" customFormat="1" ht="30" customHeight="1" thickBot="1">
      <c r="A41" s="45" t="s">
        <v>82</v>
      </c>
      <c r="B41" s="88"/>
      <c r="C41" s="89"/>
      <c r="D41" s="88"/>
      <c r="E41" s="89"/>
      <c r="F41" s="84"/>
      <c r="G41" s="85"/>
      <c r="H41" s="84"/>
      <c r="I41" s="85"/>
      <c r="J41" s="84"/>
      <c r="K41" s="85"/>
      <c r="L41" s="84"/>
      <c r="M41" s="85"/>
      <c r="N41" s="84"/>
      <c r="O41" s="85"/>
      <c r="P41" s="84"/>
      <c r="Q41" s="85"/>
      <c r="R41" s="84"/>
      <c r="S41" s="85"/>
      <c r="T41" s="46"/>
      <c r="U41" s="86" t="s">
        <v>67</v>
      </c>
      <c r="V41" s="87"/>
    </row>
    <row r="42" spans="1:29" s="19" customFormat="1" ht="30" customHeight="1" thickTop="1">
      <c r="A42" s="47" t="s">
        <v>68</v>
      </c>
      <c r="B42" s="82"/>
      <c r="C42" s="83"/>
      <c r="D42" s="82"/>
      <c r="E42" s="83"/>
      <c r="F42" s="82"/>
      <c r="G42" s="83"/>
      <c r="H42" s="82"/>
      <c r="I42" s="83"/>
      <c r="J42" s="82"/>
      <c r="K42" s="83"/>
      <c r="L42" s="82"/>
      <c r="M42" s="83"/>
      <c r="N42" s="82"/>
      <c r="O42" s="83"/>
      <c r="P42" s="82"/>
      <c r="Q42" s="83"/>
      <c r="R42" s="82"/>
      <c r="S42" s="83"/>
      <c r="T42" s="48"/>
      <c r="U42" s="220">
        <f>SUM(B42:T42)</f>
        <v>0</v>
      </c>
      <c r="V42" s="221"/>
    </row>
    <row r="43" spans="1:29" s="19" customFormat="1" ht="30" customHeight="1">
      <c r="A43" s="49" t="s">
        <v>69</v>
      </c>
      <c r="B43" s="78"/>
      <c r="C43" s="79"/>
      <c r="D43" s="78"/>
      <c r="E43" s="79"/>
      <c r="F43" s="78"/>
      <c r="G43" s="79"/>
      <c r="H43" s="78"/>
      <c r="I43" s="79"/>
      <c r="J43" s="78"/>
      <c r="K43" s="79"/>
      <c r="L43" s="78"/>
      <c r="M43" s="79"/>
      <c r="N43" s="78"/>
      <c r="O43" s="79"/>
      <c r="P43" s="78"/>
      <c r="Q43" s="79"/>
      <c r="R43" s="78"/>
      <c r="S43" s="79"/>
      <c r="T43" s="50"/>
      <c r="U43" s="222">
        <f>SUM(B43:T43)</f>
        <v>0</v>
      </c>
      <c r="V43" s="223"/>
    </row>
    <row r="44" spans="1:29" s="19" customFormat="1" ht="30" customHeight="1">
      <c r="A44" s="49" t="s">
        <v>70</v>
      </c>
      <c r="B44" s="80"/>
      <c r="C44" s="81"/>
      <c r="D44" s="80"/>
      <c r="E44" s="81"/>
      <c r="F44" s="78"/>
      <c r="G44" s="79"/>
      <c r="H44" s="78"/>
      <c r="I44" s="79"/>
      <c r="J44" s="78"/>
      <c r="K44" s="79"/>
      <c r="L44" s="78"/>
      <c r="M44" s="79"/>
      <c r="N44" s="78"/>
      <c r="O44" s="79"/>
      <c r="P44" s="78"/>
      <c r="Q44" s="79"/>
      <c r="R44" s="78"/>
      <c r="S44" s="79"/>
      <c r="T44" s="50"/>
      <c r="U44" s="222">
        <f>SUM(B44:T44)</f>
        <v>0</v>
      </c>
      <c r="V44" s="223"/>
    </row>
    <row r="45" spans="1:29" s="19" customFormat="1" ht="30" customHeight="1" thickBot="1">
      <c r="A45" s="51" t="s">
        <v>71</v>
      </c>
      <c r="B45" s="76">
        <f>SUM(B42:C44)</f>
        <v>0</v>
      </c>
      <c r="C45" s="77"/>
      <c r="D45" s="76">
        <f>SUM(D42:E44)</f>
        <v>0</v>
      </c>
      <c r="E45" s="77"/>
      <c r="F45" s="76">
        <f>SUM(F42:G44)</f>
        <v>0</v>
      </c>
      <c r="G45" s="77"/>
      <c r="H45" s="76">
        <f>SUM(H42:I44)</f>
        <v>0</v>
      </c>
      <c r="I45" s="77"/>
      <c r="J45" s="76">
        <f>SUM(J42:K44)</f>
        <v>0</v>
      </c>
      <c r="K45" s="77"/>
      <c r="L45" s="76">
        <f>SUM(L42:M44)</f>
        <v>0</v>
      </c>
      <c r="M45" s="77"/>
      <c r="N45" s="76">
        <f>SUM(N42:O44)</f>
        <v>0</v>
      </c>
      <c r="O45" s="77"/>
      <c r="P45" s="76">
        <f>SUM(P42:Q44)</f>
        <v>0</v>
      </c>
      <c r="Q45" s="77"/>
      <c r="R45" s="76">
        <f>SUM(R42:S44)</f>
        <v>0</v>
      </c>
      <c r="S45" s="77"/>
      <c r="T45" s="52">
        <f>SUM(T42:T44)</f>
        <v>0</v>
      </c>
      <c r="U45" s="224">
        <f>SUM(U42:V44)</f>
        <v>0</v>
      </c>
      <c r="V45" s="225"/>
      <c r="X45" s="53"/>
    </row>
    <row r="46" spans="1:29" s="19" customFormat="1" ht="13.5" customHeight="1">
      <c r="A46" s="54"/>
      <c r="B46" s="55"/>
      <c r="C46" s="55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7"/>
      <c r="V46" s="57"/>
      <c r="X46" s="53"/>
    </row>
    <row r="47" spans="1:29" ht="35.450000000000003" customHeight="1">
      <c r="A47" s="75" t="s">
        <v>72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X47" s="58"/>
    </row>
    <row r="48" spans="1:29" ht="24" hidden="1" customHeight="1" thickBot="1">
      <c r="A48" s="59" t="s">
        <v>73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</row>
    <row r="49" spans="1:24" ht="24" hidden="1" customHeight="1" thickTop="1">
      <c r="A49" s="75" t="s">
        <v>72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</row>
    <row r="50" spans="1:24" ht="24" hidden="1" customHeight="1">
      <c r="A50" s="59" t="s">
        <v>73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</row>
    <row r="51" spans="1:24" ht="24" hidden="1" customHeight="1">
      <c r="A51" s="75" t="s">
        <v>72</v>
      </c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</row>
    <row r="52" spans="1:24" ht="24" hidden="1" customHeight="1" thickBot="1">
      <c r="A52" s="59" t="s">
        <v>73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X52" s="58"/>
    </row>
    <row r="53" spans="1:24" ht="24" hidden="1" customHeight="1" thickBot="1">
      <c r="A53" s="75" t="s">
        <v>72</v>
      </c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X53" s="58"/>
    </row>
    <row r="54" spans="1:24" ht="24" hidden="1" customHeight="1" thickBot="1">
      <c r="A54" s="59" t="s">
        <v>73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</row>
    <row r="55" spans="1:24" ht="24" hidden="1" customHeight="1" thickTop="1">
      <c r="A55" s="75" t="s">
        <v>72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</row>
    <row r="56" spans="1:24" ht="24" hidden="1" customHeight="1">
      <c r="A56" s="59" t="s">
        <v>73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</row>
    <row r="57" spans="1:24" ht="24" hidden="1" customHeight="1">
      <c r="A57" s="75" t="s">
        <v>74</v>
      </c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</row>
    <row r="58" spans="1:24" ht="24" hidden="1" customHeight="1" thickBot="1">
      <c r="A58" s="59" t="s">
        <v>75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X58" s="58"/>
    </row>
    <row r="59" spans="1:24" ht="24" hidden="1" customHeight="1">
      <c r="A59" s="75" t="s">
        <v>72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X59" s="58"/>
    </row>
    <row r="60" spans="1:24" ht="24" hidden="1" customHeight="1">
      <c r="A60" s="59" t="s">
        <v>73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X60" s="58"/>
    </row>
    <row r="61" spans="1:24" ht="24" hidden="1" customHeight="1">
      <c r="A61" s="75" t="s">
        <v>72</v>
      </c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X61" s="58"/>
    </row>
    <row r="62" spans="1:24" ht="24" customHeight="1">
      <c r="A62" s="59" t="s">
        <v>73</v>
      </c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X62" s="58"/>
    </row>
    <row r="63" spans="1:24" ht="26.25" customHeight="1">
      <c r="A63" s="60" t="s">
        <v>76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P63" s="61"/>
      <c r="Q63" s="61"/>
      <c r="R63" s="61"/>
      <c r="S63" s="61"/>
      <c r="T63" s="61"/>
      <c r="U63" s="61"/>
      <c r="V63" s="61"/>
      <c r="W63" s="61"/>
    </row>
    <row r="64" spans="1:24" ht="206.25" customHeight="1">
      <c r="A64" s="68" t="s">
        <v>77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70"/>
    </row>
    <row r="65" spans="1:22" ht="24" hidden="1" customHeight="1">
      <c r="A65" s="62" t="s">
        <v>78</v>
      </c>
    </row>
    <row r="66" spans="1:22" s="65" customFormat="1" ht="24" hidden="1" customHeight="1">
      <c r="A66" s="63" t="s">
        <v>79</v>
      </c>
      <c r="B66" s="64"/>
      <c r="C66" s="64"/>
      <c r="D66" s="64"/>
      <c r="E66" s="64"/>
      <c r="F66" s="64"/>
      <c r="G66" s="64"/>
      <c r="H66" s="64"/>
    </row>
    <row r="67" spans="1:22" s="65" customFormat="1" ht="24" hidden="1" customHeight="1">
      <c r="A67" s="63" t="s">
        <v>80</v>
      </c>
      <c r="B67" s="64"/>
      <c r="C67" s="63" t="s">
        <v>81</v>
      </c>
      <c r="D67" s="64"/>
      <c r="E67" s="64"/>
      <c r="F67" s="64"/>
      <c r="G67" s="64"/>
      <c r="H67" s="64"/>
      <c r="N67" s="71"/>
      <c r="O67" s="71"/>
      <c r="P67" s="71"/>
      <c r="Q67" s="71"/>
      <c r="R67" s="71"/>
      <c r="S67" s="71"/>
      <c r="T67" s="71"/>
      <c r="U67" s="71"/>
      <c r="V67" s="71"/>
    </row>
    <row r="68" spans="1:22" ht="20.100000000000001" customHeight="1">
      <c r="A68" s="66"/>
    </row>
    <row r="69" spans="1:22" ht="10.5" customHeight="1"/>
    <row r="70" spans="1:22" ht="20.100000000000001" customHeight="1"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67"/>
      <c r="R70" s="67"/>
      <c r="S70" s="67"/>
    </row>
    <row r="71" spans="1:22" ht="6.75" customHeight="1"/>
    <row r="72" spans="1:22" ht="20.100000000000001" customHeight="1">
      <c r="M72" s="73"/>
      <c r="N72" s="74"/>
      <c r="O72" s="74"/>
      <c r="P72" s="74"/>
      <c r="Q72" s="74"/>
      <c r="R72" s="74"/>
      <c r="S72" s="74"/>
      <c r="T72" s="74"/>
      <c r="U72" s="74"/>
      <c r="V72" s="74"/>
    </row>
    <row r="73" spans="1:22" ht="20.100000000000001" customHeight="1">
      <c r="M73" s="73"/>
      <c r="N73" s="74"/>
      <c r="O73" s="74"/>
      <c r="P73" s="74"/>
      <c r="Q73" s="74"/>
      <c r="R73" s="74"/>
      <c r="S73" s="74"/>
      <c r="T73" s="74"/>
      <c r="U73" s="74"/>
      <c r="V73" s="74"/>
    </row>
    <row r="74" spans="1:22" ht="24.75" customHeight="1">
      <c r="M74" s="73"/>
      <c r="N74" s="74"/>
      <c r="O74" s="74"/>
      <c r="P74" s="74"/>
      <c r="Q74" s="74"/>
      <c r="R74" s="74"/>
      <c r="S74" s="74"/>
      <c r="T74" s="74"/>
      <c r="U74" s="74"/>
      <c r="V74" s="74"/>
    </row>
  </sheetData>
  <mergeCells count="222">
    <mergeCell ref="M6:N6"/>
    <mergeCell ref="O6:V6"/>
    <mergeCell ref="M7:N7"/>
    <mergeCell ref="O7:V7"/>
    <mergeCell ref="A9:C9"/>
    <mergeCell ref="D9:J9"/>
    <mergeCell ref="L9:N9"/>
    <mergeCell ref="O9:V9"/>
    <mergeCell ref="A1:V2"/>
    <mergeCell ref="A4:B4"/>
    <mergeCell ref="C4:H4"/>
    <mergeCell ref="L4:L7"/>
    <mergeCell ref="M4:N4"/>
    <mergeCell ref="O4:V4"/>
    <mergeCell ref="A5:G6"/>
    <mergeCell ref="H5:H6"/>
    <mergeCell ref="M5:N5"/>
    <mergeCell ref="O5:V5"/>
    <mergeCell ref="D12:J12"/>
    <mergeCell ref="L12:N12"/>
    <mergeCell ref="O12:V12"/>
    <mergeCell ref="A14:B14"/>
    <mergeCell ref="D14:U14"/>
    <mergeCell ref="A15:B15"/>
    <mergeCell ref="D15:U15"/>
    <mergeCell ref="D10:J10"/>
    <mergeCell ref="L10:N10"/>
    <mergeCell ref="O10:V10"/>
    <mergeCell ref="D11:J11"/>
    <mergeCell ref="L11:N11"/>
    <mergeCell ref="O11:V11"/>
    <mergeCell ref="A16:B16"/>
    <mergeCell ref="C16:H16"/>
    <mergeCell ref="J16:P16"/>
    <mergeCell ref="Q16:V16"/>
    <mergeCell ref="A17:V17"/>
    <mergeCell ref="A18:E18"/>
    <mergeCell ref="F18:H18"/>
    <mergeCell ref="I18:K18"/>
    <mergeCell ref="L18:M18"/>
    <mergeCell ref="N18:P18"/>
    <mergeCell ref="Q18:S18"/>
    <mergeCell ref="T18:V18"/>
    <mergeCell ref="A19:B21"/>
    <mergeCell ref="C19:E19"/>
    <mergeCell ref="F19:G19"/>
    <mergeCell ref="I19:J19"/>
    <mergeCell ref="L19:M19"/>
    <mergeCell ref="N19:P19"/>
    <mergeCell ref="Q19:S19"/>
    <mergeCell ref="T19:V19"/>
    <mergeCell ref="T20:V20"/>
    <mergeCell ref="C21:E21"/>
    <mergeCell ref="F21:G21"/>
    <mergeCell ref="I21:J21"/>
    <mergeCell ref="L21:M21"/>
    <mergeCell ref="N21:P21"/>
    <mergeCell ref="Q21:S21"/>
    <mergeCell ref="T21:V21"/>
    <mergeCell ref="C20:E20"/>
    <mergeCell ref="F20:G20"/>
    <mergeCell ref="I20:J20"/>
    <mergeCell ref="L20:M20"/>
    <mergeCell ref="N20:P20"/>
    <mergeCell ref="Q20:S20"/>
    <mergeCell ref="Q22:S22"/>
    <mergeCell ref="T22:V22"/>
    <mergeCell ref="C23:E23"/>
    <mergeCell ref="F23:G23"/>
    <mergeCell ref="I23:J23"/>
    <mergeCell ref="L23:M23"/>
    <mergeCell ref="N23:P23"/>
    <mergeCell ref="Q23:S23"/>
    <mergeCell ref="T23:V23"/>
    <mergeCell ref="C22:E22"/>
    <mergeCell ref="F22:G22"/>
    <mergeCell ref="I22:J22"/>
    <mergeCell ref="L22:M22"/>
    <mergeCell ref="N22:P22"/>
    <mergeCell ref="N24:P24"/>
    <mergeCell ref="Q24:S24"/>
    <mergeCell ref="T24:V24"/>
    <mergeCell ref="C25:E25"/>
    <mergeCell ref="F25:G25"/>
    <mergeCell ref="I25:J25"/>
    <mergeCell ref="L25:M25"/>
    <mergeCell ref="N25:P25"/>
    <mergeCell ref="Q25:S25"/>
    <mergeCell ref="T25:V25"/>
    <mergeCell ref="C24:E24"/>
    <mergeCell ref="F24:G24"/>
    <mergeCell ref="I24:J24"/>
    <mergeCell ref="L24:M24"/>
    <mergeCell ref="T26:V26"/>
    <mergeCell ref="C27:E27"/>
    <mergeCell ref="F27:G27"/>
    <mergeCell ref="I27:J27"/>
    <mergeCell ref="L27:M27"/>
    <mergeCell ref="N27:P27"/>
    <mergeCell ref="Q27:S27"/>
    <mergeCell ref="T27:V27"/>
    <mergeCell ref="C26:E26"/>
    <mergeCell ref="F26:G26"/>
    <mergeCell ref="I26:J26"/>
    <mergeCell ref="L26:M26"/>
    <mergeCell ref="N26:P26"/>
    <mergeCell ref="Q26:S26"/>
    <mergeCell ref="A30:M30"/>
    <mergeCell ref="N30:P30"/>
    <mergeCell ref="Q30:S30"/>
    <mergeCell ref="T30:V30"/>
    <mergeCell ref="A31:E31"/>
    <mergeCell ref="F31:J31"/>
    <mergeCell ref="L31:M31"/>
    <mergeCell ref="N31:V31"/>
    <mergeCell ref="T28:V28"/>
    <mergeCell ref="C29:E29"/>
    <mergeCell ref="F29:G29"/>
    <mergeCell ref="I29:J29"/>
    <mergeCell ref="L29:M29"/>
    <mergeCell ref="N29:P29"/>
    <mergeCell ref="Q29:S29"/>
    <mergeCell ref="T29:V29"/>
    <mergeCell ref="C28:E28"/>
    <mergeCell ref="F28:G28"/>
    <mergeCell ref="I28:J28"/>
    <mergeCell ref="L28:M28"/>
    <mergeCell ref="N28:P28"/>
    <mergeCell ref="Q28:S28"/>
    <mergeCell ref="A22:B29"/>
    <mergeCell ref="A32:M32"/>
    <mergeCell ref="N32:P32"/>
    <mergeCell ref="Q32:S32"/>
    <mergeCell ref="T32:V32"/>
    <mergeCell ref="A33:V33"/>
    <mergeCell ref="A34:B35"/>
    <mergeCell ref="C34:E34"/>
    <mergeCell ref="F34:G34"/>
    <mergeCell ref="I34:J34"/>
    <mergeCell ref="L34:M34"/>
    <mergeCell ref="A36:M36"/>
    <mergeCell ref="N36:P36"/>
    <mergeCell ref="Q36:S36"/>
    <mergeCell ref="T36:V36"/>
    <mergeCell ref="A38:M38"/>
    <mergeCell ref="N38:P38"/>
    <mergeCell ref="Q38:S38"/>
    <mergeCell ref="T38:V38"/>
    <mergeCell ref="N34:P34"/>
    <mergeCell ref="Q34:S34"/>
    <mergeCell ref="T34:V34"/>
    <mergeCell ref="C35:E35"/>
    <mergeCell ref="F35:G35"/>
    <mergeCell ref="I35:J35"/>
    <mergeCell ref="L35:M35"/>
    <mergeCell ref="N35:P35"/>
    <mergeCell ref="Q35:S35"/>
    <mergeCell ref="T35:V35"/>
    <mergeCell ref="N41:O41"/>
    <mergeCell ref="P41:Q41"/>
    <mergeCell ref="R41:S41"/>
    <mergeCell ref="U41:V41"/>
    <mergeCell ref="B42:C42"/>
    <mergeCell ref="D42:E42"/>
    <mergeCell ref="F42:G42"/>
    <mergeCell ref="H42:I42"/>
    <mergeCell ref="J42:K42"/>
    <mergeCell ref="L42:M42"/>
    <mergeCell ref="B41:C41"/>
    <mergeCell ref="D41:E41"/>
    <mergeCell ref="F41:G41"/>
    <mergeCell ref="H41:I41"/>
    <mergeCell ref="J41:K41"/>
    <mergeCell ref="L41:M41"/>
    <mergeCell ref="N42:O42"/>
    <mergeCell ref="P42:Q42"/>
    <mergeCell ref="R42:S42"/>
    <mergeCell ref="U42:V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U43:V43"/>
    <mergeCell ref="B44:C44"/>
    <mergeCell ref="D44:E44"/>
    <mergeCell ref="F44:G44"/>
    <mergeCell ref="H44:I44"/>
    <mergeCell ref="J44:K44"/>
    <mergeCell ref="L44:M44"/>
    <mergeCell ref="N45:O45"/>
    <mergeCell ref="P45:Q45"/>
    <mergeCell ref="R45:S45"/>
    <mergeCell ref="U45:V45"/>
    <mergeCell ref="A47:V47"/>
    <mergeCell ref="A49:V49"/>
    <mergeCell ref="N44:O44"/>
    <mergeCell ref="P44:Q44"/>
    <mergeCell ref="R44:S44"/>
    <mergeCell ref="U44:V44"/>
    <mergeCell ref="B45:C45"/>
    <mergeCell ref="D45:E45"/>
    <mergeCell ref="F45:G45"/>
    <mergeCell ref="H45:I45"/>
    <mergeCell ref="J45:K45"/>
    <mergeCell ref="L45:M45"/>
    <mergeCell ref="A64:V64"/>
    <mergeCell ref="N67:V67"/>
    <mergeCell ref="G70:P70"/>
    <mergeCell ref="M72:V72"/>
    <mergeCell ref="M73:V73"/>
    <mergeCell ref="M74:V74"/>
    <mergeCell ref="A51:V51"/>
    <mergeCell ref="A53:V53"/>
    <mergeCell ref="A55:V55"/>
    <mergeCell ref="A57:V57"/>
    <mergeCell ref="A59:V59"/>
    <mergeCell ref="A61:V61"/>
  </mergeCells>
  <phoneticPr fontId="3" type="noConversion"/>
  <hyperlinks>
    <hyperlink ref="O11" r:id="rId1"/>
  </hyperlinks>
  <printOptions horizontalCentered="1"/>
  <pageMargins left="0.19685039370078741" right="0.19685039370078741" top="0.59055118110236227" bottom="0.39370078740157483" header="0" footer="0"/>
  <pageSetup paperSize="9" scale="47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빈파일</vt:lpstr>
      <vt:lpstr>빈파일!Print_Area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2026-03-26T04:25:29Z</dcterms:created>
  <dcterms:modified xsi:type="dcterms:W3CDTF">2026-03-26T04:30:29Z</dcterms:modified>
</cp:coreProperties>
</file>