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qaz25\Downloads\"/>
    </mc:Choice>
  </mc:AlternateContent>
  <xr:revisionPtr revIDLastSave="0" documentId="13_ncr:1_{82F8152A-1843-46BE-8B93-E6FD751B0A99}" xr6:coauthVersionLast="47" xr6:coauthVersionMax="47" xr10:uidLastSave="{00000000-0000-0000-0000-000000000000}"/>
  <bookViews>
    <workbookView xWindow="38280" yWindow="-60" windowWidth="38640" windowHeight="21120" tabRatio="831" xr2:uid="{00000000-000D-0000-FFFF-FFFF00000000}"/>
  </bookViews>
  <sheets>
    <sheet name="빈문서" sheetId="114" r:id="rId1"/>
  </sheets>
  <definedNames>
    <definedName name="_xlnm.Print_Area" localSheetId="0">빈문서!$B$1:$AF$49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14" l="1"/>
  <c r="Z22" i="114" s="1"/>
  <c r="T21" i="114"/>
  <c r="Z21" i="114" s="1"/>
  <c r="T20" i="114"/>
  <c r="Z20" i="114" s="1"/>
  <c r="T19" i="114"/>
  <c r="Z19" i="114" s="1"/>
  <c r="T18" i="114"/>
  <c r="Z18" i="114" s="1"/>
  <c r="T17" i="114"/>
  <c r="Z17" i="114" s="1"/>
  <c r="T16" i="114"/>
  <c r="Z16" i="114" s="1"/>
  <c r="T15" i="114"/>
  <c r="Z15" i="114" s="1"/>
  <c r="T14" i="114"/>
  <c r="Z14" i="114" s="1"/>
  <c r="T13" i="114"/>
  <c r="Z13" i="114" s="1"/>
  <c r="T12" i="114"/>
  <c r="Z12" i="114" s="1"/>
  <c r="T11" i="114"/>
  <c r="Z11" i="114" s="1"/>
  <c r="T10" i="114"/>
  <c r="T25" i="114" l="1"/>
  <c r="Z25" i="114" s="1"/>
  <c r="T26" i="114" s="1"/>
  <c r="Z10" i="114"/>
  <c r="T27" i="114" l="1"/>
  <c r="Q28" i="114" s="1"/>
  <c r="B6" i="114" s="1"/>
</calcChain>
</file>

<file path=xl/sharedStrings.xml><?xml version="1.0" encoding="utf-8"?>
<sst xmlns="http://schemas.openxmlformats.org/spreadsheetml/2006/main" count="51" uniqueCount="48">
  <si>
    <t>거   래   명   세   표</t>
    <phoneticPr fontId="3" type="noConversion"/>
  </si>
  <si>
    <t>공  급  자</t>
    <phoneticPr fontId="3" type="noConversion"/>
  </si>
  <si>
    <t>등록번호</t>
    <phoneticPr fontId="3" type="noConversion"/>
  </si>
  <si>
    <t>135 - 85 - 03824</t>
    <phoneticPr fontId="3" type="noConversion"/>
  </si>
  <si>
    <t>귀중</t>
    <phoneticPr fontId="3" type="noConversion"/>
  </si>
  <si>
    <t>상호</t>
    <phoneticPr fontId="3" type="noConversion"/>
  </si>
  <si>
    <t>흥국생명보험㈜용인연수원</t>
    <phoneticPr fontId="3" type="noConversion"/>
  </si>
  <si>
    <t>성명</t>
    <phoneticPr fontId="3" type="noConversion"/>
  </si>
  <si>
    <t>아래와 같이 계산합니다.</t>
    <phoneticPr fontId="3" type="noConversion"/>
  </si>
  <si>
    <t>사업장주소</t>
    <phoneticPr fontId="3" type="noConversion"/>
  </si>
  <si>
    <t>경기도 용인시 기흥구 중부대로819번길 57-9 (상하동)</t>
    <phoneticPr fontId="3" type="noConversion"/>
  </si>
  <si>
    <t>업태</t>
    <phoneticPr fontId="3" type="noConversion"/>
  </si>
  <si>
    <t>교육 서비스업 외</t>
    <phoneticPr fontId="3" type="noConversion"/>
  </si>
  <si>
    <t>종목</t>
    <phoneticPr fontId="3" type="noConversion"/>
  </si>
  <si>
    <t>지식.인력개발관련 평생교육 외</t>
    <phoneticPr fontId="3" type="noConversion"/>
  </si>
  <si>
    <t>교육명칭</t>
    <phoneticPr fontId="3" type="noConversion"/>
  </si>
  <si>
    <t>사용기간</t>
    <phoneticPr fontId="3" type="noConversion"/>
  </si>
  <si>
    <t>~</t>
    <phoneticPr fontId="3" type="noConversion"/>
  </si>
  <si>
    <t>월</t>
    <phoneticPr fontId="3" type="noConversion"/>
  </si>
  <si>
    <t>일</t>
    <phoneticPr fontId="3" type="noConversion"/>
  </si>
  <si>
    <t>품      목</t>
    <phoneticPr fontId="3" type="noConversion"/>
  </si>
  <si>
    <t>규  격</t>
    <phoneticPr fontId="3" type="noConversion"/>
  </si>
  <si>
    <t>수  량</t>
    <phoneticPr fontId="3" type="noConversion"/>
  </si>
  <si>
    <t>단  가</t>
    <phoneticPr fontId="3" type="noConversion"/>
  </si>
  <si>
    <t>공급가액</t>
    <phoneticPr fontId="3" type="noConversion"/>
  </si>
  <si>
    <t>세    액</t>
    <phoneticPr fontId="3" type="noConversion"/>
  </si>
  <si>
    <t>비  고</t>
    <phoneticPr fontId="3" type="noConversion"/>
  </si>
  <si>
    <t>숙박비(4인실)</t>
    <phoneticPr fontId="3" type="noConversion"/>
  </si>
  <si>
    <t>숙박비(2인실)</t>
    <phoneticPr fontId="3" type="noConversion"/>
  </si>
  <si>
    <t>시설사용료(중형)_70인</t>
    <phoneticPr fontId="3" type="noConversion"/>
  </si>
  <si>
    <t>시설사용료(대형_120인실)</t>
    <phoneticPr fontId="3" type="noConversion"/>
  </si>
  <si>
    <t>시설사용료(소형)_20인</t>
    <phoneticPr fontId="3" type="noConversion"/>
  </si>
  <si>
    <t>시설사용료(분임토의실)</t>
    <phoneticPr fontId="3" type="noConversion"/>
  </si>
  <si>
    <t>시설사용료(중형)_50인</t>
    <phoneticPr fontId="3" type="noConversion"/>
  </si>
  <si>
    <t>다목적실</t>
    <phoneticPr fontId="3" type="noConversion"/>
  </si>
  <si>
    <t>계</t>
    <phoneticPr fontId="3" type="noConversion"/>
  </si>
  <si>
    <t>합          계</t>
    <phoneticPr fontId="3" type="noConversion"/>
  </si>
  <si>
    <t>할인적용(숙박,강의실)</t>
    <phoneticPr fontId="3" type="noConversion"/>
  </si>
  <si>
    <t>선  금</t>
    <phoneticPr fontId="3" type="noConversion"/>
  </si>
  <si>
    <t>잔  금</t>
    <phoneticPr fontId="3" type="noConversion"/>
  </si>
  <si>
    <t>인수자</t>
    <phoneticPr fontId="3" type="noConversion"/>
  </si>
  <si>
    <t>결제방식</t>
    <phoneticPr fontId="3" type="noConversion"/>
  </si>
  <si>
    <t>담당자</t>
    <phoneticPr fontId="3" type="noConversion"/>
  </si>
  <si>
    <t>연락처</t>
    <phoneticPr fontId="3" type="noConversion"/>
  </si>
  <si>
    <t>/</t>
    <phoneticPr fontId="3" type="noConversion"/>
  </si>
  <si>
    <t>이메일</t>
    <phoneticPr fontId="3" type="noConversion"/>
  </si>
  <si>
    <t>카드</t>
    <phoneticPr fontId="3" type="noConversion"/>
  </si>
  <si>
    <t>김  대  현 (인)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</si>
</sst>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yyyy\ &quot;년&quot;\ mm\ &quot;월&quot;\ dd\ &quot;일&quot;\(aaa\)"/>
    <numFmt numFmtId="177" formatCode="&quot;(&quot;&quot;₩&quot;#,##0\-&quot;)&quot;"/>
    <numFmt numFmtId="178" formatCode="0&quot;박&quot;"/>
    <numFmt numFmtId="179" formatCode="0&quot;실&quot;"/>
    <numFmt numFmtId="180" formatCode="mm&quot;월&quot;\ dd&quot;일&quot;"/>
    <numFmt numFmtId="181" formatCode="0&quot;일&quot;"/>
    <numFmt numFmtId="182" formatCode="#,##0_ ;[Red]\-#,##0\ "/>
    <numFmt numFmtId="183" formatCode="_-* #,##0_-;\-* #,##0_-;_-* &quot;-&quot;?_-;_-@_-"/>
    <numFmt numFmtId="184" formatCode="_-* #,##0_-;\-* #,##0_-;_-* &quot;-&quot;??_-;_-@_-"/>
    <numFmt numFmtId="185" formatCode="_-* #,##0.0_-;\-* #,##0.0_-;_-* &quot;-&quot;?_-;_-@_-"/>
  </numFmts>
  <fonts count="28">
    <font>
      <sz val="11"/>
      <color theme="1"/>
      <name val="나눔바른고딕"/>
      <family val="2"/>
      <charset val="129"/>
    </font>
    <font>
      <sz val="8"/>
      <name val="나눔바른고딕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9.9"/>
      <color indexed="12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24"/>
      <color rgb="FF002060"/>
      <name val="맑은 고딕"/>
      <family val="3"/>
      <charset val="129"/>
      <scheme val="minor"/>
    </font>
    <font>
      <b/>
      <sz val="16"/>
      <color rgb="FF00206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8"/>
      <color rgb="FF002060"/>
      <name val="맑은 고딕"/>
      <family val="3"/>
      <charset val="129"/>
      <scheme val="minor"/>
    </font>
    <font>
      <sz val="18"/>
      <color rgb="FF002060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5"/>
      <color rgb="FF0000FF"/>
      <name val="맑은 고딕"/>
      <family val="3"/>
      <charset val="129"/>
      <scheme val="minor"/>
    </font>
    <font>
      <u/>
      <sz val="12"/>
      <color indexed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22"/>
      <name val="맑은 고딕"/>
      <family val="3"/>
      <charset val="129"/>
      <scheme val="minor"/>
    </font>
    <font>
      <sz val="50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41" fontId="2" fillId="0" borderId="0" applyFont="0" applyFill="0" applyBorder="0" applyAlignment="0" applyProtection="0"/>
  </cellStyleXfs>
  <cellXfs count="141">
    <xf numFmtId="0" fontId="0" fillId="0" borderId="0" xfId="0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0" borderId="4" xfId="1" applyFont="1" applyBorder="1" applyAlignment="1">
      <alignment vertical="center"/>
    </xf>
    <xf numFmtId="0" fontId="7" fillId="0" borderId="0" xfId="1" applyFont="1" applyAlignment="1">
      <alignment horizontal="left" vertical="center"/>
    </xf>
    <xf numFmtId="0" fontId="17" fillId="0" borderId="10" xfId="1" applyFont="1" applyBorder="1" applyAlignment="1">
      <alignment vertical="center"/>
    </xf>
    <xf numFmtId="0" fontId="18" fillId="0" borderId="11" xfId="1" applyFont="1" applyBorder="1" applyAlignment="1">
      <alignment vertical="center"/>
    </xf>
    <xf numFmtId="0" fontId="6" fillId="0" borderId="0" xfId="1" applyFont="1" applyAlignment="1">
      <alignment horizontal="left" vertical="center"/>
    </xf>
    <xf numFmtId="0" fontId="18" fillId="0" borderId="10" xfId="1" applyFont="1" applyBorder="1" applyAlignment="1">
      <alignment vertical="center"/>
    </xf>
    <xf numFmtId="0" fontId="18" fillId="0" borderId="5" xfId="1" applyFont="1" applyBorder="1" applyAlignment="1">
      <alignment vertical="center"/>
    </xf>
    <xf numFmtId="0" fontId="12" fillId="0" borderId="5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 shrinkToFit="1"/>
    </xf>
    <xf numFmtId="0" fontId="6" fillId="0" borderId="0" xfId="1" applyFont="1" applyAlignment="1">
      <alignment horizontal="center" vertical="center" shrinkToFit="1"/>
    </xf>
    <xf numFmtId="0" fontId="7" fillId="0" borderId="0" xfId="1" applyFont="1" applyAlignment="1">
      <alignment horizontal="center" vertical="center" shrinkToFit="1"/>
    </xf>
    <xf numFmtId="41" fontId="7" fillId="0" borderId="0" xfId="4" applyFont="1" applyAlignment="1">
      <alignment horizontal="center" vertical="center" shrinkToFit="1"/>
    </xf>
    <xf numFmtId="49" fontId="7" fillId="0" borderId="9" xfId="1" applyNumberFormat="1" applyFont="1" applyBorder="1" applyAlignment="1">
      <alignment horizontal="center" vertical="center" shrinkToFit="1"/>
    </xf>
    <xf numFmtId="49" fontId="7" fillId="0" borderId="7" xfId="1" applyNumberFormat="1" applyFont="1" applyBorder="1" applyAlignment="1">
      <alignment horizontal="center" vertical="center" shrinkToFit="1"/>
    </xf>
    <xf numFmtId="41" fontId="7" fillId="0" borderId="0" xfId="1" applyNumberFormat="1" applyFont="1" applyAlignment="1">
      <alignment horizontal="center" vertical="center" shrinkToFit="1"/>
    </xf>
    <xf numFmtId="49" fontId="7" fillId="0" borderId="12" xfId="1" applyNumberFormat="1" applyFont="1" applyBorder="1" applyAlignment="1">
      <alignment horizontal="center" vertical="center" shrinkToFit="1"/>
    </xf>
    <xf numFmtId="49" fontId="7" fillId="0" borderId="13" xfId="1" applyNumberFormat="1" applyFont="1" applyBorder="1" applyAlignment="1">
      <alignment horizontal="center" vertical="center" shrinkToFit="1"/>
    </xf>
    <xf numFmtId="183" fontId="7" fillId="0" borderId="0" xfId="1" applyNumberFormat="1" applyFont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17" fillId="0" borderId="24" xfId="1" applyFont="1" applyBorder="1" applyAlignment="1">
      <alignment vertical="center"/>
    </xf>
    <xf numFmtId="0" fontId="17" fillId="0" borderId="25" xfId="1" applyFont="1" applyBorder="1" applyAlignment="1">
      <alignment horizontal="center" vertical="center"/>
    </xf>
    <xf numFmtId="0" fontId="6" fillId="0" borderId="30" xfId="1" applyFont="1" applyBorder="1" applyAlignment="1">
      <alignment vertical="center"/>
    </xf>
    <xf numFmtId="181" fontId="23" fillId="0" borderId="0" xfId="4" applyNumberFormat="1" applyFont="1" applyBorder="1" applyAlignment="1">
      <alignment vertical="center"/>
    </xf>
    <xf numFmtId="0" fontId="25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4" fillId="0" borderId="0" xfId="1" applyFont="1" applyAlignment="1">
      <alignment horizontal="left" vertical="center"/>
    </xf>
    <xf numFmtId="0" fontId="26" fillId="0" borderId="0" xfId="1" applyFont="1" applyAlignment="1">
      <alignment horizontal="left" vertical="center"/>
    </xf>
    <xf numFmtId="41" fontId="7" fillId="0" borderId="0" xfId="1" applyNumberFormat="1" applyFont="1" applyAlignment="1">
      <alignment horizontal="center" vertical="center"/>
    </xf>
    <xf numFmtId="0" fontId="17" fillId="0" borderId="24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shrinkToFit="1"/>
    </xf>
    <xf numFmtId="0" fontId="19" fillId="0" borderId="7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176" fontId="9" fillId="0" borderId="5" xfId="1" applyNumberFormat="1" applyFont="1" applyBorder="1" applyAlignment="1">
      <alignment horizontal="center" vertical="center" shrinkToFit="1"/>
    </xf>
    <xf numFmtId="0" fontId="9" fillId="0" borderId="5" xfId="1" applyFont="1" applyBorder="1" applyAlignment="1">
      <alignment horizontal="center" vertical="center" shrinkToFit="1"/>
    </xf>
    <xf numFmtId="0" fontId="9" fillId="0" borderId="7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shrinkToFit="1"/>
    </xf>
    <xf numFmtId="0" fontId="9" fillId="0" borderId="7" xfId="1" applyFont="1" applyBorder="1" applyAlignment="1">
      <alignment horizontal="center" vertical="center" shrinkToFit="1"/>
    </xf>
    <xf numFmtId="0" fontId="9" fillId="0" borderId="10" xfId="1" applyFont="1" applyBorder="1" applyAlignment="1">
      <alignment horizontal="center" vertical="center" shrinkToFit="1"/>
    </xf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 shrinkToFit="1"/>
    </xf>
    <xf numFmtId="0" fontId="14" fillId="0" borderId="7" xfId="1" applyFont="1" applyBorder="1" applyAlignment="1">
      <alignment horizontal="center" vertical="center" shrinkToFit="1"/>
    </xf>
    <xf numFmtId="0" fontId="14" fillId="0" borderId="8" xfId="1" applyFont="1" applyBorder="1" applyAlignment="1">
      <alignment horizontal="center" vertical="center" shrinkToFit="1"/>
    </xf>
    <xf numFmtId="0" fontId="15" fillId="0" borderId="9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 shrinkToFit="1"/>
    </xf>
    <xf numFmtId="0" fontId="11" fillId="0" borderId="8" xfId="1" applyFont="1" applyBorder="1" applyAlignment="1">
      <alignment horizontal="center" vertical="center" shrinkToFit="1"/>
    </xf>
    <xf numFmtId="177" fontId="9" fillId="2" borderId="9" xfId="1" applyNumberFormat="1" applyFont="1" applyFill="1" applyBorder="1" applyAlignment="1">
      <alignment horizontal="center" vertical="center"/>
    </xf>
    <xf numFmtId="177" fontId="9" fillId="2" borderId="7" xfId="1" applyNumberFormat="1" applyFont="1" applyFill="1" applyBorder="1" applyAlignment="1">
      <alignment horizontal="center" vertical="center"/>
    </xf>
    <xf numFmtId="0" fontId="11" fillId="0" borderId="7" xfId="1" applyFont="1" applyBorder="1" applyAlignment="1">
      <alignment vertical="center" shrinkToFit="1"/>
    </xf>
    <xf numFmtId="0" fontId="11" fillId="0" borderId="8" xfId="1" applyFont="1" applyBorder="1" applyAlignment="1">
      <alignment vertical="center" shrinkToFit="1"/>
    </xf>
    <xf numFmtId="0" fontId="16" fillId="0" borderId="9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5" fillId="0" borderId="5" xfId="3" quotePrefix="1" applyFont="1" applyBorder="1" applyAlignment="1">
      <alignment horizontal="center" vertical="center"/>
    </xf>
    <xf numFmtId="0" fontId="5" fillId="0" borderId="5" xfId="3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14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shrinkToFit="1"/>
    </xf>
    <xf numFmtId="178" fontId="7" fillId="0" borderId="7" xfId="4" applyNumberFormat="1" applyFont="1" applyBorder="1" applyAlignment="1">
      <alignment horizontal="center" vertical="center" shrinkToFit="1"/>
    </xf>
    <xf numFmtId="179" fontId="7" fillId="0" borderId="7" xfId="4" applyNumberFormat="1" applyFont="1" applyBorder="1" applyAlignment="1">
      <alignment horizontal="center" vertical="center" shrinkToFit="1"/>
    </xf>
    <xf numFmtId="41" fontId="7" fillId="0" borderId="10" xfId="4" applyFont="1" applyBorder="1" applyAlignment="1">
      <alignment horizontal="center" vertical="center" shrinkToFit="1"/>
    </xf>
    <xf numFmtId="41" fontId="7" fillId="0" borderId="5" xfId="4" applyFont="1" applyBorder="1" applyAlignment="1">
      <alignment horizontal="center" vertical="center" shrinkToFit="1"/>
    </xf>
    <xf numFmtId="41" fontId="7" fillId="0" borderId="6" xfId="4" applyFont="1" applyBorder="1" applyAlignment="1">
      <alignment horizontal="center" vertical="center" shrinkToFit="1"/>
    </xf>
    <xf numFmtId="41" fontId="15" fillId="0" borderId="7" xfId="4" applyFont="1" applyBorder="1" applyAlignment="1">
      <alignment horizontal="center" vertical="center" shrinkToFit="1"/>
    </xf>
    <xf numFmtId="0" fontId="6" fillId="0" borderId="7" xfId="1" applyFont="1" applyBorder="1" applyAlignment="1">
      <alignment horizontal="center" vertical="center" shrinkToFit="1"/>
    </xf>
    <xf numFmtId="0" fontId="6" fillId="0" borderId="8" xfId="1" applyFont="1" applyBorder="1" applyAlignment="1">
      <alignment horizontal="center" vertical="center" shrinkToFit="1"/>
    </xf>
    <xf numFmtId="180" fontId="6" fillId="0" borderId="7" xfId="1" applyNumberFormat="1" applyFont="1" applyBorder="1" applyAlignment="1">
      <alignment horizontal="center" vertical="center" shrinkToFit="1"/>
    </xf>
    <xf numFmtId="181" fontId="7" fillId="0" borderId="7" xfId="4" applyNumberFormat="1" applyFont="1" applyBorder="1" applyAlignment="1">
      <alignment horizontal="center" vertical="center" shrinkToFit="1"/>
    </xf>
    <xf numFmtId="41" fontId="15" fillId="0" borderId="13" xfId="4" applyFont="1" applyBorder="1" applyAlignment="1">
      <alignment horizontal="center" vertical="center" shrinkToFit="1"/>
    </xf>
    <xf numFmtId="0" fontId="6" fillId="0" borderId="13" xfId="1" applyFont="1" applyBorder="1" applyAlignment="1">
      <alignment horizontal="center" vertical="center" shrinkToFit="1"/>
    </xf>
    <xf numFmtId="0" fontId="6" fillId="0" borderId="15" xfId="1" applyFont="1" applyBorder="1" applyAlignment="1">
      <alignment horizontal="center" vertical="center" shrinkToFit="1"/>
    </xf>
    <xf numFmtId="0" fontId="7" fillId="0" borderId="13" xfId="1" applyFont="1" applyBorder="1" applyAlignment="1">
      <alignment horizontal="center" vertical="center" shrinkToFit="1"/>
    </xf>
    <xf numFmtId="181" fontId="7" fillId="0" borderId="13" xfId="4" applyNumberFormat="1" applyFont="1" applyBorder="1" applyAlignment="1">
      <alignment horizontal="center" vertical="center" shrinkToFit="1"/>
    </xf>
    <xf numFmtId="179" fontId="7" fillId="0" borderId="13" xfId="4" applyNumberFormat="1" applyFont="1" applyBorder="1" applyAlignment="1">
      <alignment horizontal="center" vertical="center" shrinkToFit="1"/>
    </xf>
    <xf numFmtId="41" fontId="7" fillId="0" borderId="14" xfId="4" applyFont="1" applyBorder="1" applyAlignment="1">
      <alignment horizontal="center" vertical="center" shrinkToFit="1"/>
    </xf>
    <xf numFmtId="41" fontId="7" fillId="0" borderId="16" xfId="4" applyFont="1" applyBorder="1" applyAlignment="1">
      <alignment horizontal="center" vertical="center" shrinkToFit="1"/>
    </xf>
    <xf numFmtId="41" fontId="7" fillId="0" borderId="17" xfId="4" applyFont="1" applyBorder="1" applyAlignment="1">
      <alignment horizontal="center" vertical="center" shrinkToFit="1"/>
    </xf>
    <xf numFmtId="0" fontId="16" fillId="0" borderId="4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41" fontId="16" fillId="0" borderId="7" xfId="4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41" fontId="16" fillId="0" borderId="10" xfId="4" applyFont="1" applyBorder="1" applyAlignment="1">
      <alignment horizontal="center" vertical="center"/>
    </xf>
    <xf numFmtId="41" fontId="16" fillId="0" borderId="5" xfId="4" applyFont="1" applyBorder="1" applyAlignment="1">
      <alignment horizontal="center" vertical="center"/>
    </xf>
    <xf numFmtId="41" fontId="16" fillId="0" borderId="6" xfId="4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9" fontId="16" fillId="0" borderId="10" xfId="4" applyNumberFormat="1" applyFont="1" applyBorder="1" applyAlignment="1">
      <alignment horizontal="center" vertical="center"/>
    </xf>
    <xf numFmtId="182" fontId="9" fillId="0" borderId="10" xfId="4" applyNumberFormat="1" applyFont="1" applyBorder="1" applyAlignment="1">
      <alignment horizontal="right" vertical="center"/>
    </xf>
    <xf numFmtId="182" fontId="9" fillId="0" borderId="5" xfId="4" applyNumberFormat="1" applyFont="1" applyBorder="1" applyAlignment="1">
      <alignment horizontal="right" vertical="center"/>
    </xf>
    <xf numFmtId="182" fontId="9" fillId="0" borderId="6" xfId="4" applyNumberFormat="1" applyFont="1" applyBorder="1" applyAlignment="1">
      <alignment horizontal="right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41" fontId="20" fillId="0" borderId="10" xfId="4" applyFont="1" applyBorder="1" applyAlignment="1">
      <alignment horizontal="right" vertical="center"/>
    </xf>
    <xf numFmtId="41" fontId="20" fillId="0" borderId="5" xfId="4" applyFont="1" applyBorder="1" applyAlignment="1">
      <alignment horizontal="right" vertical="center"/>
    </xf>
    <xf numFmtId="41" fontId="20" fillId="0" borderId="6" xfId="4" applyFont="1" applyBorder="1" applyAlignment="1">
      <alignment horizontal="right" vertical="center"/>
    </xf>
    <xf numFmtId="41" fontId="16" fillId="2" borderId="7" xfId="4" applyFont="1" applyFill="1" applyBorder="1" applyAlignment="1">
      <alignment horizontal="center" vertical="center"/>
    </xf>
    <xf numFmtId="49" fontId="21" fillId="0" borderId="28" xfId="2" applyNumberFormat="1" applyFont="1" applyBorder="1" applyAlignment="1" applyProtection="1">
      <alignment horizontal="center" vertical="center"/>
    </xf>
    <xf numFmtId="49" fontId="22" fillId="0" borderId="28" xfId="2" applyNumberFormat="1" applyFont="1" applyBorder="1" applyAlignment="1" applyProtection="1">
      <alignment horizontal="center" vertical="center"/>
    </xf>
    <xf numFmtId="49" fontId="22" fillId="0" borderId="29" xfId="2" applyNumberFormat="1" applyFont="1" applyBorder="1" applyAlignment="1" applyProtection="1">
      <alignment horizontal="center" vertical="center"/>
    </xf>
    <xf numFmtId="181" fontId="23" fillId="0" borderId="0" xfId="4" applyNumberFormat="1" applyFont="1" applyBorder="1" applyAlignment="1">
      <alignment horizontal="right" vertical="center"/>
    </xf>
    <xf numFmtId="0" fontId="23" fillId="0" borderId="0" xfId="1" applyFont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17" fillId="0" borderId="22" xfId="1" applyFont="1" applyBorder="1" applyAlignment="1">
      <alignment horizontal="center" vertical="center"/>
    </xf>
    <xf numFmtId="0" fontId="17" fillId="0" borderId="24" xfId="1" applyFont="1" applyBorder="1" applyAlignment="1">
      <alignment horizontal="center" vertical="center"/>
    </xf>
    <xf numFmtId="0" fontId="17" fillId="0" borderId="26" xfId="1" applyFont="1" applyBorder="1" applyAlignment="1">
      <alignment horizontal="center" vertical="center"/>
    </xf>
    <xf numFmtId="0" fontId="17" fillId="0" borderId="27" xfId="1" applyFont="1" applyBorder="1" applyAlignment="1">
      <alignment horizontal="center" vertical="center"/>
    </xf>
    <xf numFmtId="0" fontId="15" fillId="0" borderId="28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41" fontId="23" fillId="0" borderId="0" xfId="4" applyFont="1" applyBorder="1" applyAlignment="1">
      <alignment horizontal="left" vertical="center"/>
    </xf>
    <xf numFmtId="0" fontId="24" fillId="0" borderId="0" xfId="1" applyFont="1" applyAlignment="1">
      <alignment horizontal="left" vertical="center" wrapText="1"/>
    </xf>
    <xf numFmtId="184" fontId="6" fillId="0" borderId="0" xfId="1" applyNumberFormat="1" applyFont="1" applyAlignment="1">
      <alignment horizontal="center" vertical="center"/>
    </xf>
    <xf numFmtId="18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41" fontId="23" fillId="0" borderId="0" xfId="4" applyFont="1" applyBorder="1" applyAlignment="1">
      <alignment horizontal="right" vertical="center"/>
    </xf>
    <xf numFmtId="0" fontId="27" fillId="0" borderId="7" xfId="1" applyFont="1" applyBorder="1" applyAlignment="1">
      <alignment horizontal="center" vertical="center" wrapText="1"/>
    </xf>
  </cellXfs>
  <cellStyles count="5">
    <cellStyle name="쉼표 [0] 2" xfId="4" xr:uid="{00000000-0005-0000-0000-000000000000}"/>
    <cellStyle name="표준" xfId="0" builtinId="0"/>
    <cellStyle name="표준 2" xfId="3" xr:uid="{00000000-0005-0000-0000-000002000000}"/>
    <cellStyle name="표준_200609_거래명세서_외부" xfId="1" xr:uid="{00000000-0005-0000-0000-000003000000}"/>
    <cellStyle name="하이퍼링크" xfId="2" builtinId="8"/>
  </cellStyles>
  <dxfs count="0"/>
  <tableStyles count="0" defaultTableStyle="TableStyleMedium2" defaultPivotStyle="PivotStyleLight16"/>
  <colors>
    <mruColors>
      <color rgb="FF00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241789</xdr:colOff>
      <xdr:row>2</xdr:row>
      <xdr:rowOff>280536</xdr:rowOff>
    </xdr:from>
    <xdr:to>
      <xdr:col>32</xdr:col>
      <xdr:colOff>17180</xdr:colOff>
      <xdr:row>4</xdr:row>
      <xdr:rowOff>115219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6674" y="2918228"/>
          <a:ext cx="962352" cy="801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51955</xdr:colOff>
          <xdr:row>1</xdr:row>
          <xdr:rowOff>0</xdr:rowOff>
        </xdr:from>
        <xdr:to>
          <xdr:col>32</xdr:col>
          <xdr:colOff>1731</xdr:colOff>
          <xdr:row>1</xdr:row>
          <xdr:rowOff>585842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19706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310255" y="1552575"/>
              <a:ext cx="816551" cy="585842"/>
            </a:xfrm>
            <a:prstGeom prst="rect">
              <a:avLst/>
            </a:prstGeom>
            <a:noFill/>
            <a:ln>
              <a:solidFill>
                <a:srgbClr val="46027E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55</xdr:col>
      <xdr:colOff>43299</xdr:colOff>
      <xdr:row>0</xdr:row>
      <xdr:rowOff>884464</xdr:rowOff>
    </xdr:from>
    <xdr:to>
      <xdr:col>57</xdr:col>
      <xdr:colOff>241236</xdr:colOff>
      <xdr:row>1</xdr:row>
      <xdr:rowOff>429244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85774" y="884464"/>
          <a:ext cx="2331537" cy="1097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0</xdr:row>
      <xdr:rowOff>71438</xdr:rowOff>
    </xdr:from>
    <xdr:to>
      <xdr:col>8</xdr:col>
      <xdr:colOff>23813</xdr:colOff>
      <xdr:row>0</xdr:row>
      <xdr:rowOff>595314</xdr:rowOff>
    </xdr:to>
    <xdr:pic>
      <xdr:nvPicPr>
        <xdr:cNvPr id="5" name="Picture 1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25" y="71438"/>
          <a:ext cx="2243138" cy="523876"/>
        </a:xfrm>
        <a:prstGeom prst="rect">
          <a:avLst/>
        </a:prstGeom>
        <a:noFill/>
        <a:ln w="9525" algn="ctr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107315</xdr:colOff>
      <xdr:row>42</xdr:row>
      <xdr:rowOff>71439</xdr:rowOff>
    </xdr:from>
    <xdr:to>
      <xdr:col>31</xdr:col>
      <xdr:colOff>242836</xdr:colOff>
      <xdr:row>46</xdr:row>
      <xdr:rowOff>266889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1765" y="13215939"/>
          <a:ext cx="1068971" cy="145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P47"/>
  <sheetViews>
    <sheetView showGridLines="0" tabSelected="1" view="pageBreakPreview" topLeftCell="A3" zoomScale="130" zoomScaleNormal="55" zoomScaleSheetLayoutView="130" zoomScalePageLayoutView="40" workbookViewId="0">
      <selection activeCell="X6" activeCellId="1" sqref="G7:AD7 X6:AF6"/>
    </sheetView>
  </sheetViews>
  <sheetFormatPr defaultColWidth="2.5" defaultRowHeight="24.95" customHeight="1"/>
  <cols>
    <col min="1" max="1" width="2.5" style="1" customWidth="1"/>
    <col min="2" max="30" width="4.25" style="1" customWidth="1"/>
    <col min="31" max="31" width="3.75" style="1" customWidth="1"/>
    <col min="32" max="32" width="3.375" style="1" customWidth="1"/>
    <col min="33" max="33" width="2.75" style="1" customWidth="1"/>
    <col min="34" max="38" width="17.25" style="2" customWidth="1"/>
    <col min="39" max="40" width="14" style="2" customWidth="1"/>
    <col min="41" max="67" width="14" style="1" customWidth="1"/>
    <col min="68" max="16384" width="2.5" style="1"/>
  </cols>
  <sheetData>
    <row r="1" spans="2:42" ht="122.25" customHeight="1">
      <c r="AI1" s="29"/>
      <c r="AP1" s="30"/>
    </row>
    <row r="2" spans="2:42" ht="85.5" customHeight="1">
      <c r="B2" s="39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</row>
    <row r="3" spans="2:42" ht="38.25" customHeight="1">
      <c r="B3" s="3"/>
      <c r="C3" s="42"/>
      <c r="D3" s="43"/>
      <c r="E3" s="43"/>
      <c r="F3" s="43"/>
      <c r="G3" s="43"/>
      <c r="H3" s="43"/>
      <c r="I3" s="43"/>
      <c r="J3" s="38"/>
      <c r="K3" s="44" t="s">
        <v>1</v>
      </c>
      <c r="L3" s="44" t="s">
        <v>2</v>
      </c>
      <c r="M3" s="44"/>
      <c r="N3" s="44"/>
      <c r="O3" s="44"/>
      <c r="P3" s="45" t="s">
        <v>3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6"/>
      <c r="AH3" s="4"/>
      <c r="AI3" s="31"/>
    </row>
    <row r="4" spans="2:42" ht="38.25" customHeight="1">
      <c r="B4" s="47"/>
      <c r="C4" s="48"/>
      <c r="D4" s="48"/>
      <c r="E4" s="48"/>
      <c r="F4" s="48"/>
      <c r="G4" s="48"/>
      <c r="H4" s="49"/>
      <c r="I4" s="50" t="s">
        <v>4</v>
      </c>
      <c r="J4" s="51"/>
      <c r="K4" s="44"/>
      <c r="L4" s="44" t="s">
        <v>5</v>
      </c>
      <c r="M4" s="44"/>
      <c r="N4" s="44"/>
      <c r="O4" s="44"/>
      <c r="P4" s="140" t="s">
        <v>6</v>
      </c>
      <c r="Q4" s="52"/>
      <c r="R4" s="52"/>
      <c r="S4" s="52"/>
      <c r="T4" s="52"/>
      <c r="U4" s="52"/>
      <c r="V4" s="52"/>
      <c r="W4" s="52"/>
      <c r="X4" s="53" t="s">
        <v>7</v>
      </c>
      <c r="Y4" s="53"/>
      <c r="Z4" s="54" t="s">
        <v>47</v>
      </c>
      <c r="AA4" s="55"/>
      <c r="AB4" s="55"/>
      <c r="AC4" s="55"/>
      <c r="AD4" s="55"/>
      <c r="AE4" s="55"/>
      <c r="AF4" s="56"/>
      <c r="AH4" s="4"/>
      <c r="AI4" s="32"/>
    </row>
    <row r="5" spans="2:42" ht="38.25" customHeight="1">
      <c r="B5" s="57" t="s">
        <v>8</v>
      </c>
      <c r="C5" s="58"/>
      <c r="D5" s="58"/>
      <c r="E5" s="58"/>
      <c r="F5" s="58"/>
      <c r="G5" s="58"/>
      <c r="H5" s="58"/>
      <c r="I5" s="58"/>
      <c r="J5" s="58"/>
      <c r="K5" s="44"/>
      <c r="L5" s="44" t="s">
        <v>9</v>
      </c>
      <c r="M5" s="44"/>
      <c r="N5" s="44"/>
      <c r="O5" s="44"/>
      <c r="P5" s="59" t="s">
        <v>10</v>
      </c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60"/>
    </row>
    <row r="6" spans="2:42" ht="38.25" customHeight="1">
      <c r="B6" s="61">
        <f>Q28</f>
        <v>0</v>
      </c>
      <c r="C6" s="62"/>
      <c r="D6" s="62"/>
      <c r="E6" s="62"/>
      <c r="F6" s="62"/>
      <c r="G6" s="62"/>
      <c r="H6" s="62"/>
      <c r="I6" s="62"/>
      <c r="J6" s="62"/>
      <c r="K6" s="44"/>
      <c r="L6" s="44" t="s">
        <v>11</v>
      </c>
      <c r="M6" s="44"/>
      <c r="N6" s="44"/>
      <c r="O6" s="44"/>
      <c r="P6" s="59" t="s">
        <v>12</v>
      </c>
      <c r="Q6" s="59"/>
      <c r="R6" s="59"/>
      <c r="S6" s="59"/>
      <c r="T6" s="59"/>
      <c r="U6" s="59"/>
      <c r="V6" s="53" t="s">
        <v>13</v>
      </c>
      <c r="W6" s="53"/>
      <c r="X6" s="59" t="s">
        <v>14</v>
      </c>
      <c r="Y6" s="59"/>
      <c r="Z6" s="63"/>
      <c r="AA6" s="63"/>
      <c r="AB6" s="63"/>
      <c r="AC6" s="63"/>
      <c r="AD6" s="63"/>
      <c r="AE6" s="63"/>
      <c r="AF6" s="64"/>
    </row>
    <row r="7" spans="2:42" s="7" customFormat="1" ht="43.5" customHeight="1">
      <c r="B7" s="65" t="s">
        <v>15</v>
      </c>
      <c r="C7" s="66"/>
      <c r="D7" s="66"/>
      <c r="E7" s="66"/>
      <c r="F7" s="5"/>
      <c r="G7" s="67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9"/>
      <c r="AF7" s="6"/>
      <c r="AH7" s="4"/>
      <c r="AI7" s="4"/>
      <c r="AJ7" s="4"/>
      <c r="AK7" s="4"/>
      <c r="AL7" s="4"/>
      <c r="AM7" s="4"/>
      <c r="AN7" s="4"/>
    </row>
    <row r="8" spans="2:42" s="7" customFormat="1" ht="33" customHeight="1">
      <c r="B8" s="69" t="s">
        <v>16</v>
      </c>
      <c r="C8" s="70"/>
      <c r="D8" s="70"/>
      <c r="E8" s="71"/>
      <c r="F8" s="8"/>
      <c r="G8" s="42"/>
      <c r="H8" s="42"/>
      <c r="I8" s="42"/>
      <c r="J8" s="42"/>
      <c r="K8" s="42"/>
      <c r="L8" s="42"/>
      <c r="M8" s="42"/>
      <c r="N8" s="42"/>
      <c r="O8" s="42"/>
      <c r="P8" s="42"/>
      <c r="Q8" s="9"/>
      <c r="R8" s="10" t="s">
        <v>17</v>
      </c>
      <c r="S8" s="9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11"/>
      <c r="AH8" s="4"/>
      <c r="AI8" s="4"/>
      <c r="AJ8" s="4"/>
      <c r="AK8" s="4"/>
      <c r="AL8" s="4"/>
      <c r="AM8" s="4"/>
      <c r="AN8" s="4"/>
    </row>
    <row r="9" spans="2:42" ht="39" customHeight="1">
      <c r="B9" s="12" t="s">
        <v>18</v>
      </c>
      <c r="C9" s="37" t="s">
        <v>19</v>
      </c>
      <c r="D9" s="72" t="s">
        <v>20</v>
      </c>
      <c r="E9" s="72"/>
      <c r="F9" s="72"/>
      <c r="G9" s="72"/>
      <c r="H9" s="72"/>
      <c r="I9" s="72"/>
      <c r="J9" s="72"/>
      <c r="K9" s="72" t="s">
        <v>21</v>
      </c>
      <c r="L9" s="72"/>
      <c r="M9" s="72"/>
      <c r="N9" s="72" t="s">
        <v>22</v>
      </c>
      <c r="O9" s="72"/>
      <c r="P9" s="72"/>
      <c r="Q9" s="72" t="s">
        <v>23</v>
      </c>
      <c r="R9" s="72"/>
      <c r="S9" s="72"/>
      <c r="T9" s="72" t="s">
        <v>24</v>
      </c>
      <c r="U9" s="72"/>
      <c r="V9" s="72"/>
      <c r="W9" s="72"/>
      <c r="X9" s="72"/>
      <c r="Y9" s="72"/>
      <c r="Z9" s="72" t="s">
        <v>25</v>
      </c>
      <c r="AA9" s="72"/>
      <c r="AB9" s="72"/>
      <c r="AC9" s="72"/>
      <c r="AD9" s="72"/>
      <c r="AE9" s="72" t="s">
        <v>26</v>
      </c>
      <c r="AF9" s="73"/>
    </row>
    <row r="10" spans="2:42" s="14" customFormat="1" ht="40.5" customHeight="1">
      <c r="B10" s="13"/>
      <c r="C10" s="36"/>
      <c r="D10" s="74"/>
      <c r="E10" s="74"/>
      <c r="F10" s="74"/>
      <c r="G10" s="74"/>
      <c r="H10" s="74"/>
      <c r="I10" s="74"/>
      <c r="J10" s="74"/>
      <c r="K10" s="75">
        <v>0</v>
      </c>
      <c r="L10" s="75"/>
      <c r="M10" s="75"/>
      <c r="N10" s="76">
        <v>0</v>
      </c>
      <c r="O10" s="76"/>
      <c r="P10" s="76"/>
      <c r="Q10" s="77"/>
      <c r="R10" s="78"/>
      <c r="S10" s="79"/>
      <c r="T10" s="80">
        <f>K10*N10*Q10</f>
        <v>0</v>
      </c>
      <c r="U10" s="80"/>
      <c r="V10" s="80"/>
      <c r="W10" s="80"/>
      <c r="X10" s="80"/>
      <c r="Y10" s="80"/>
      <c r="Z10" s="80">
        <f t="shared" ref="Z10:Z21" si="0">T10*10%</f>
        <v>0</v>
      </c>
      <c r="AA10" s="80"/>
      <c r="AB10" s="80"/>
      <c r="AC10" s="80"/>
      <c r="AD10" s="80"/>
      <c r="AE10" s="81"/>
      <c r="AF10" s="82"/>
      <c r="AH10" s="15"/>
      <c r="AI10" s="15"/>
      <c r="AJ10" s="15"/>
      <c r="AK10" s="15"/>
      <c r="AL10" s="15"/>
      <c r="AM10" s="15"/>
      <c r="AN10" s="15"/>
    </row>
    <row r="11" spans="2:42" s="14" customFormat="1" ht="40.5" hidden="1" customHeight="1">
      <c r="B11" s="13"/>
      <c r="C11" s="36"/>
      <c r="D11" s="74" t="s">
        <v>27</v>
      </c>
      <c r="E11" s="74"/>
      <c r="F11" s="74"/>
      <c r="G11" s="74"/>
      <c r="H11" s="74"/>
      <c r="I11" s="74"/>
      <c r="J11" s="74"/>
      <c r="K11" s="75"/>
      <c r="L11" s="75"/>
      <c r="M11" s="75"/>
      <c r="N11" s="76"/>
      <c r="O11" s="76"/>
      <c r="P11" s="76"/>
      <c r="Q11" s="77"/>
      <c r="R11" s="78"/>
      <c r="S11" s="79"/>
      <c r="T11" s="80">
        <f>K11*N11*Q11</f>
        <v>0</v>
      </c>
      <c r="U11" s="80"/>
      <c r="V11" s="80"/>
      <c r="W11" s="80"/>
      <c r="X11" s="80"/>
      <c r="Y11" s="80"/>
      <c r="Z11" s="80">
        <f t="shared" si="0"/>
        <v>0</v>
      </c>
      <c r="AA11" s="80"/>
      <c r="AB11" s="80"/>
      <c r="AC11" s="80"/>
      <c r="AD11" s="80"/>
      <c r="AE11" s="81"/>
      <c r="AF11" s="82"/>
      <c r="AH11" s="15"/>
      <c r="AI11" s="16"/>
      <c r="AJ11" s="15"/>
      <c r="AK11" s="15"/>
      <c r="AL11" s="15"/>
      <c r="AM11" s="15"/>
      <c r="AN11" s="15"/>
    </row>
    <row r="12" spans="2:42" s="14" customFormat="1" ht="40.5" hidden="1" customHeight="1">
      <c r="B12" s="13"/>
      <c r="C12" s="36"/>
      <c r="D12" s="74" t="s">
        <v>28</v>
      </c>
      <c r="E12" s="74"/>
      <c r="F12" s="74"/>
      <c r="G12" s="74"/>
      <c r="H12" s="74"/>
      <c r="I12" s="74"/>
      <c r="J12" s="74"/>
      <c r="K12" s="75"/>
      <c r="L12" s="75"/>
      <c r="M12" s="75"/>
      <c r="N12" s="76"/>
      <c r="O12" s="76"/>
      <c r="P12" s="76"/>
      <c r="Q12" s="77"/>
      <c r="R12" s="78"/>
      <c r="S12" s="79"/>
      <c r="T12" s="80">
        <f>Q12*N12*K12</f>
        <v>0</v>
      </c>
      <c r="U12" s="80"/>
      <c r="V12" s="80"/>
      <c r="W12" s="80"/>
      <c r="X12" s="80"/>
      <c r="Y12" s="80"/>
      <c r="Z12" s="80">
        <f t="shared" si="0"/>
        <v>0</v>
      </c>
      <c r="AA12" s="80"/>
      <c r="AB12" s="80"/>
      <c r="AC12" s="80"/>
      <c r="AD12" s="80"/>
      <c r="AE12" s="83"/>
      <c r="AF12" s="82"/>
      <c r="AH12" s="15"/>
      <c r="AI12" s="16"/>
      <c r="AJ12" s="15"/>
      <c r="AK12" s="15"/>
      <c r="AL12" s="15"/>
      <c r="AM12" s="15"/>
      <c r="AN12" s="15"/>
    </row>
    <row r="13" spans="2:42" s="14" customFormat="1" ht="40.5" customHeight="1">
      <c r="B13" s="13"/>
      <c r="C13" s="36"/>
      <c r="D13" s="74"/>
      <c r="E13" s="74"/>
      <c r="F13" s="74"/>
      <c r="G13" s="74"/>
      <c r="H13" s="74"/>
      <c r="I13" s="74"/>
      <c r="J13" s="74"/>
      <c r="K13" s="75">
        <v>0</v>
      </c>
      <c r="L13" s="75"/>
      <c r="M13" s="75"/>
      <c r="N13" s="76">
        <v>0</v>
      </c>
      <c r="O13" s="76"/>
      <c r="P13" s="76"/>
      <c r="Q13" s="77"/>
      <c r="R13" s="78"/>
      <c r="S13" s="79"/>
      <c r="T13" s="80">
        <f>Q13*N13*K13</f>
        <v>0</v>
      </c>
      <c r="U13" s="80"/>
      <c r="V13" s="80"/>
      <c r="W13" s="80"/>
      <c r="X13" s="80"/>
      <c r="Y13" s="80"/>
      <c r="Z13" s="80">
        <f t="shared" si="0"/>
        <v>0</v>
      </c>
      <c r="AA13" s="80"/>
      <c r="AB13" s="80"/>
      <c r="AC13" s="80"/>
      <c r="AD13" s="80"/>
      <c r="AE13" s="83"/>
      <c r="AF13" s="82"/>
      <c r="AH13" s="15"/>
      <c r="AI13" s="16"/>
      <c r="AJ13" s="15"/>
      <c r="AK13" s="15"/>
      <c r="AL13" s="15"/>
      <c r="AM13" s="15"/>
      <c r="AN13" s="15"/>
    </row>
    <row r="14" spans="2:42" s="14" customFormat="1" ht="40.5" hidden="1" customHeight="1">
      <c r="B14" s="13"/>
      <c r="C14" s="36"/>
      <c r="D14" s="74" t="s">
        <v>33</v>
      </c>
      <c r="E14" s="74"/>
      <c r="F14" s="74"/>
      <c r="G14" s="74"/>
      <c r="H14" s="74"/>
      <c r="I14" s="74"/>
      <c r="J14" s="74"/>
      <c r="K14" s="84"/>
      <c r="L14" s="84"/>
      <c r="M14" s="84"/>
      <c r="N14" s="76"/>
      <c r="O14" s="76"/>
      <c r="P14" s="76"/>
      <c r="Q14" s="77"/>
      <c r="R14" s="78"/>
      <c r="S14" s="79"/>
      <c r="T14" s="85">
        <f>K14*N14*Q14</f>
        <v>0</v>
      </c>
      <c r="U14" s="85"/>
      <c r="V14" s="85"/>
      <c r="W14" s="85"/>
      <c r="X14" s="85"/>
      <c r="Y14" s="85"/>
      <c r="Z14" s="85">
        <f t="shared" si="0"/>
        <v>0</v>
      </c>
      <c r="AA14" s="85"/>
      <c r="AB14" s="85"/>
      <c r="AC14" s="85"/>
      <c r="AD14" s="85"/>
      <c r="AE14" s="86"/>
      <c r="AF14" s="87"/>
      <c r="AH14" s="15"/>
      <c r="AI14" s="16"/>
      <c r="AJ14" s="15"/>
      <c r="AK14" s="15"/>
      <c r="AL14" s="15"/>
      <c r="AM14" s="15"/>
      <c r="AN14" s="15"/>
    </row>
    <row r="15" spans="2:42" s="14" customFormat="1" ht="40.5" hidden="1" customHeight="1">
      <c r="B15" s="13"/>
      <c r="C15" s="36"/>
      <c r="D15" s="74" t="s">
        <v>33</v>
      </c>
      <c r="E15" s="74"/>
      <c r="F15" s="74"/>
      <c r="G15" s="74"/>
      <c r="H15" s="74"/>
      <c r="I15" s="74"/>
      <c r="J15" s="74"/>
      <c r="K15" s="84"/>
      <c r="L15" s="84"/>
      <c r="M15" s="84"/>
      <c r="N15" s="76"/>
      <c r="O15" s="76"/>
      <c r="P15" s="76"/>
      <c r="Q15" s="77"/>
      <c r="R15" s="78"/>
      <c r="S15" s="79"/>
      <c r="T15" s="85">
        <f>K15*N15*Q15</f>
        <v>0</v>
      </c>
      <c r="U15" s="85"/>
      <c r="V15" s="85"/>
      <c r="W15" s="85"/>
      <c r="X15" s="85"/>
      <c r="Y15" s="85"/>
      <c r="Z15" s="85">
        <f t="shared" si="0"/>
        <v>0</v>
      </c>
      <c r="AA15" s="85"/>
      <c r="AB15" s="85"/>
      <c r="AC15" s="85"/>
      <c r="AD15" s="85"/>
      <c r="AE15" s="86"/>
      <c r="AF15" s="87"/>
      <c r="AH15" s="15"/>
      <c r="AI15" s="16"/>
      <c r="AJ15" s="15"/>
      <c r="AK15" s="15"/>
      <c r="AL15" s="15"/>
      <c r="AM15" s="15"/>
      <c r="AN15" s="15"/>
    </row>
    <row r="16" spans="2:42" s="14" customFormat="1" ht="40.5" hidden="1" customHeight="1">
      <c r="B16" s="13"/>
      <c r="C16" s="36"/>
      <c r="D16" s="74" t="s">
        <v>29</v>
      </c>
      <c r="E16" s="74"/>
      <c r="F16" s="74"/>
      <c r="G16" s="74"/>
      <c r="H16" s="74"/>
      <c r="I16" s="74"/>
      <c r="J16" s="74"/>
      <c r="K16" s="84"/>
      <c r="L16" s="84"/>
      <c r="M16" s="84"/>
      <c r="N16" s="76"/>
      <c r="O16" s="76"/>
      <c r="P16" s="76"/>
      <c r="Q16" s="77"/>
      <c r="R16" s="78"/>
      <c r="S16" s="79"/>
      <c r="T16" s="80">
        <f t="shared" ref="T16:T22" si="1">K16*N16*Q16</f>
        <v>0</v>
      </c>
      <c r="U16" s="80"/>
      <c r="V16" s="80"/>
      <c r="W16" s="80"/>
      <c r="X16" s="80"/>
      <c r="Y16" s="80"/>
      <c r="Z16" s="80">
        <f t="shared" si="0"/>
        <v>0</v>
      </c>
      <c r="AA16" s="80"/>
      <c r="AB16" s="80"/>
      <c r="AC16" s="80"/>
      <c r="AD16" s="80"/>
      <c r="AE16" s="81"/>
      <c r="AF16" s="82"/>
      <c r="AH16" s="19"/>
      <c r="AI16" s="16"/>
      <c r="AJ16" s="15"/>
      <c r="AK16" s="15"/>
      <c r="AL16" s="15"/>
      <c r="AM16" s="15"/>
      <c r="AN16" s="15"/>
    </row>
    <row r="17" spans="2:40" s="14" customFormat="1" ht="40.5" customHeight="1">
      <c r="B17" s="13"/>
      <c r="C17" s="36"/>
      <c r="D17" s="74"/>
      <c r="E17" s="74"/>
      <c r="F17" s="74"/>
      <c r="G17" s="74"/>
      <c r="H17" s="74"/>
      <c r="I17" s="74"/>
      <c r="J17" s="74"/>
      <c r="K17" s="84">
        <v>0</v>
      </c>
      <c r="L17" s="84"/>
      <c r="M17" s="84"/>
      <c r="N17" s="76">
        <v>0</v>
      </c>
      <c r="O17" s="76"/>
      <c r="P17" s="76"/>
      <c r="Q17" s="77"/>
      <c r="R17" s="78"/>
      <c r="S17" s="79"/>
      <c r="T17" s="80">
        <f t="shared" si="1"/>
        <v>0</v>
      </c>
      <c r="U17" s="80"/>
      <c r="V17" s="80"/>
      <c r="W17" s="80"/>
      <c r="X17" s="80"/>
      <c r="Y17" s="80"/>
      <c r="Z17" s="80">
        <f t="shared" si="0"/>
        <v>0</v>
      </c>
      <c r="AA17" s="80"/>
      <c r="AB17" s="80"/>
      <c r="AC17" s="80"/>
      <c r="AD17" s="80"/>
      <c r="AE17" s="81"/>
      <c r="AF17" s="82"/>
      <c r="AH17" s="19"/>
      <c r="AI17" s="16"/>
      <c r="AJ17" s="15"/>
      <c r="AK17" s="15"/>
      <c r="AL17" s="15"/>
      <c r="AM17" s="15"/>
      <c r="AN17" s="15"/>
    </row>
    <row r="18" spans="2:40" s="14" customFormat="1" ht="40.5" hidden="1" customHeight="1">
      <c r="B18" s="20"/>
      <c r="C18" s="21"/>
      <c r="D18" s="88" t="s">
        <v>30</v>
      </c>
      <c r="E18" s="88"/>
      <c r="F18" s="88"/>
      <c r="G18" s="88"/>
      <c r="H18" s="88"/>
      <c r="I18" s="88"/>
      <c r="J18" s="88"/>
      <c r="K18" s="84"/>
      <c r="L18" s="84"/>
      <c r="M18" s="84"/>
      <c r="N18" s="76"/>
      <c r="O18" s="76"/>
      <c r="P18" s="76"/>
      <c r="Q18" s="77">
        <v>1200000</v>
      </c>
      <c r="R18" s="78"/>
      <c r="S18" s="79"/>
      <c r="T18" s="85">
        <f t="shared" si="1"/>
        <v>0</v>
      </c>
      <c r="U18" s="85"/>
      <c r="V18" s="85"/>
      <c r="W18" s="85"/>
      <c r="X18" s="85"/>
      <c r="Y18" s="85"/>
      <c r="Z18" s="85">
        <f>T18*10%</f>
        <v>0</v>
      </c>
      <c r="AA18" s="85"/>
      <c r="AB18" s="85"/>
      <c r="AC18" s="85"/>
      <c r="AD18" s="85"/>
      <c r="AE18" s="86"/>
      <c r="AF18" s="87"/>
      <c r="AH18" s="15"/>
      <c r="AI18" s="16"/>
      <c r="AJ18" s="15"/>
      <c r="AK18" s="15"/>
      <c r="AL18" s="15"/>
      <c r="AM18" s="15"/>
      <c r="AN18" s="15"/>
    </row>
    <row r="19" spans="2:40" s="14" customFormat="1" ht="40.5" hidden="1" customHeight="1">
      <c r="B19" s="17"/>
      <c r="C19" s="18"/>
      <c r="D19" s="74" t="s">
        <v>31</v>
      </c>
      <c r="E19" s="74"/>
      <c r="F19" s="74"/>
      <c r="G19" s="74"/>
      <c r="H19" s="74"/>
      <c r="I19" s="74"/>
      <c r="J19" s="74"/>
      <c r="K19" s="84"/>
      <c r="L19" s="84"/>
      <c r="M19" s="84"/>
      <c r="N19" s="76"/>
      <c r="O19" s="76"/>
      <c r="P19" s="76"/>
      <c r="Q19" s="77">
        <v>160000</v>
      </c>
      <c r="R19" s="78"/>
      <c r="S19" s="79"/>
      <c r="T19" s="85">
        <f t="shared" si="1"/>
        <v>0</v>
      </c>
      <c r="U19" s="85"/>
      <c r="V19" s="85"/>
      <c r="W19" s="85"/>
      <c r="X19" s="85"/>
      <c r="Y19" s="85"/>
      <c r="Z19" s="85">
        <f>T19*10%</f>
        <v>0</v>
      </c>
      <c r="AA19" s="85"/>
      <c r="AB19" s="85"/>
      <c r="AC19" s="85"/>
      <c r="AD19" s="85"/>
      <c r="AE19" s="81"/>
      <c r="AF19" s="82"/>
      <c r="AH19" s="19"/>
      <c r="AI19" s="16"/>
      <c r="AJ19" s="15"/>
      <c r="AK19" s="15"/>
      <c r="AL19" s="15"/>
      <c r="AM19" s="15"/>
      <c r="AN19" s="15"/>
    </row>
    <row r="20" spans="2:40" s="14" customFormat="1" ht="40.5" hidden="1" customHeight="1">
      <c r="B20" s="20"/>
      <c r="C20" s="21"/>
      <c r="D20" s="88" t="s">
        <v>32</v>
      </c>
      <c r="E20" s="88"/>
      <c r="F20" s="88"/>
      <c r="G20" s="88"/>
      <c r="H20" s="88"/>
      <c r="I20" s="88"/>
      <c r="J20" s="88"/>
      <c r="K20" s="89"/>
      <c r="L20" s="89"/>
      <c r="M20" s="89"/>
      <c r="N20" s="90"/>
      <c r="O20" s="90"/>
      <c r="P20" s="90"/>
      <c r="Q20" s="91">
        <v>96000</v>
      </c>
      <c r="R20" s="92"/>
      <c r="S20" s="93"/>
      <c r="T20" s="85">
        <f t="shared" si="1"/>
        <v>0</v>
      </c>
      <c r="U20" s="85"/>
      <c r="V20" s="85"/>
      <c r="W20" s="85"/>
      <c r="X20" s="85"/>
      <c r="Y20" s="85"/>
      <c r="Z20" s="85">
        <f>T20*10%</f>
        <v>0</v>
      </c>
      <c r="AA20" s="85"/>
      <c r="AB20" s="85"/>
      <c r="AC20" s="85"/>
      <c r="AD20" s="85"/>
      <c r="AE20" s="86"/>
      <c r="AF20" s="87"/>
      <c r="AH20" s="15"/>
      <c r="AI20" s="16"/>
      <c r="AJ20" s="15"/>
      <c r="AK20" s="15"/>
      <c r="AL20" s="15"/>
      <c r="AM20" s="15"/>
      <c r="AN20" s="15"/>
    </row>
    <row r="21" spans="2:40" s="14" customFormat="1" ht="40.5" hidden="1" customHeight="1">
      <c r="B21" s="17"/>
      <c r="C21" s="18"/>
      <c r="D21" s="74" t="s">
        <v>29</v>
      </c>
      <c r="E21" s="74"/>
      <c r="F21" s="74"/>
      <c r="G21" s="74"/>
      <c r="H21" s="74"/>
      <c r="I21" s="74"/>
      <c r="J21" s="74"/>
      <c r="K21" s="84"/>
      <c r="L21" s="84"/>
      <c r="M21" s="84"/>
      <c r="N21" s="76"/>
      <c r="O21" s="76"/>
      <c r="P21" s="76"/>
      <c r="Q21" s="77">
        <v>560000</v>
      </c>
      <c r="R21" s="78"/>
      <c r="S21" s="79"/>
      <c r="T21" s="80">
        <f t="shared" si="1"/>
        <v>0</v>
      </c>
      <c r="U21" s="80"/>
      <c r="V21" s="80"/>
      <c r="W21" s="80"/>
      <c r="X21" s="80"/>
      <c r="Y21" s="80"/>
      <c r="Z21" s="80">
        <f t="shared" si="0"/>
        <v>0</v>
      </c>
      <c r="AA21" s="80"/>
      <c r="AB21" s="80"/>
      <c r="AC21" s="80"/>
      <c r="AD21" s="80"/>
      <c r="AE21" s="81"/>
      <c r="AF21" s="82"/>
      <c r="AH21" s="19"/>
      <c r="AI21" s="16"/>
      <c r="AJ21" s="15"/>
      <c r="AK21" s="15"/>
      <c r="AL21" s="15"/>
      <c r="AM21" s="15"/>
      <c r="AN21" s="15"/>
    </row>
    <row r="22" spans="2:40" s="14" customFormat="1" ht="40.5" hidden="1" customHeight="1">
      <c r="B22" s="20"/>
      <c r="C22" s="21"/>
      <c r="D22" s="88" t="s">
        <v>34</v>
      </c>
      <c r="E22" s="88"/>
      <c r="F22" s="88"/>
      <c r="G22" s="88"/>
      <c r="H22" s="88"/>
      <c r="I22" s="88"/>
      <c r="J22" s="88"/>
      <c r="K22" s="89"/>
      <c r="L22" s="89"/>
      <c r="M22" s="89"/>
      <c r="N22" s="90"/>
      <c r="O22" s="90"/>
      <c r="P22" s="90"/>
      <c r="Q22" s="91">
        <v>250000</v>
      </c>
      <c r="R22" s="92"/>
      <c r="S22" s="93"/>
      <c r="T22" s="85">
        <f t="shared" si="1"/>
        <v>0</v>
      </c>
      <c r="U22" s="85"/>
      <c r="V22" s="85"/>
      <c r="W22" s="85"/>
      <c r="X22" s="85"/>
      <c r="Y22" s="85"/>
      <c r="Z22" s="85">
        <f>T22*10%</f>
        <v>0</v>
      </c>
      <c r="AA22" s="85"/>
      <c r="AB22" s="85"/>
      <c r="AC22" s="85"/>
      <c r="AD22" s="85"/>
      <c r="AE22" s="86"/>
      <c r="AF22" s="87"/>
      <c r="AH22" s="15"/>
      <c r="AI22" s="16"/>
      <c r="AJ22" s="15"/>
      <c r="AK22" s="15"/>
      <c r="AL22" s="15"/>
      <c r="AM22" s="15"/>
      <c r="AN22" s="15"/>
    </row>
    <row r="23" spans="2:40" s="14" customFormat="1" ht="40.5" customHeight="1">
      <c r="B23" s="20"/>
      <c r="C23" s="21"/>
      <c r="D23" s="88"/>
      <c r="E23" s="88"/>
      <c r="F23" s="88"/>
      <c r="G23" s="88"/>
      <c r="H23" s="88"/>
      <c r="I23" s="88"/>
      <c r="J23" s="88"/>
      <c r="K23" s="89"/>
      <c r="L23" s="89"/>
      <c r="M23" s="89"/>
      <c r="N23" s="90"/>
      <c r="O23" s="90"/>
      <c r="P23" s="90"/>
      <c r="Q23" s="91"/>
      <c r="R23" s="92"/>
      <c r="S23" s="93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6"/>
      <c r="AF23" s="87"/>
      <c r="AI23" s="19"/>
      <c r="AJ23" s="29"/>
      <c r="AK23" s="15"/>
      <c r="AL23" s="15"/>
      <c r="AM23" s="15"/>
      <c r="AN23" s="15"/>
    </row>
    <row r="24" spans="2:40" s="14" customFormat="1" ht="40.5" customHeight="1">
      <c r="B24" s="20"/>
      <c r="C24" s="21"/>
      <c r="D24" s="88"/>
      <c r="E24" s="88"/>
      <c r="F24" s="88"/>
      <c r="G24" s="88"/>
      <c r="H24" s="88"/>
      <c r="I24" s="88"/>
      <c r="J24" s="88"/>
      <c r="K24" s="89"/>
      <c r="L24" s="89"/>
      <c r="M24" s="89"/>
      <c r="N24" s="90"/>
      <c r="O24" s="90"/>
      <c r="P24" s="90"/>
      <c r="Q24" s="91"/>
      <c r="R24" s="92"/>
      <c r="S24" s="93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6"/>
      <c r="AF24" s="87"/>
      <c r="AH24" s="15"/>
      <c r="AI24" s="19"/>
      <c r="AJ24" s="15"/>
      <c r="AK24" s="15"/>
      <c r="AL24" s="15"/>
      <c r="AM24" s="15"/>
      <c r="AN24" s="15"/>
    </row>
    <row r="25" spans="2:40" ht="36" customHeight="1">
      <c r="B25" s="94" t="s">
        <v>35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6"/>
      <c r="T25" s="97">
        <f>SUM(T10:T24)</f>
        <v>0</v>
      </c>
      <c r="U25" s="97"/>
      <c r="V25" s="97"/>
      <c r="W25" s="97"/>
      <c r="X25" s="97"/>
      <c r="Y25" s="97"/>
      <c r="Z25" s="97">
        <f>T25*0.1</f>
        <v>0</v>
      </c>
      <c r="AA25" s="97"/>
      <c r="AB25" s="97"/>
      <c r="AC25" s="97"/>
      <c r="AD25" s="97"/>
      <c r="AE25" s="98"/>
      <c r="AF25" s="99"/>
      <c r="AI25" s="33"/>
    </row>
    <row r="26" spans="2:40" ht="36" customHeight="1">
      <c r="B26" s="94" t="s">
        <v>36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6"/>
      <c r="T26" s="100">
        <f>SUM(T25:AD25)</f>
        <v>0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2"/>
      <c r="AE26" s="98"/>
      <c r="AF26" s="99"/>
    </row>
    <row r="27" spans="2:40" ht="40.5" hidden="1" customHeight="1">
      <c r="B27" s="103" t="s">
        <v>37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5"/>
      <c r="Q27" s="106"/>
      <c r="R27" s="101"/>
      <c r="S27" s="102"/>
      <c r="T27" s="107">
        <f>-T26*Q27</f>
        <v>0</v>
      </c>
      <c r="U27" s="108"/>
      <c r="V27" s="108"/>
      <c r="W27" s="108"/>
      <c r="X27" s="108"/>
      <c r="Y27" s="108"/>
      <c r="Z27" s="108"/>
      <c r="AA27" s="108"/>
      <c r="AB27" s="108"/>
      <c r="AC27" s="108"/>
      <c r="AD27" s="109"/>
      <c r="AE27" s="110"/>
      <c r="AF27" s="111"/>
      <c r="AI27" s="22"/>
    </row>
    <row r="28" spans="2:40" ht="36" customHeight="1">
      <c r="B28" s="65" t="s">
        <v>38</v>
      </c>
      <c r="C28" s="66"/>
      <c r="D28" s="66"/>
      <c r="E28" s="112"/>
      <c r="F28" s="113"/>
      <c r="G28" s="113"/>
      <c r="H28" s="113"/>
      <c r="I28" s="113"/>
      <c r="J28" s="113"/>
      <c r="K28" s="113"/>
      <c r="L28" s="114"/>
      <c r="M28" s="98" t="s">
        <v>39</v>
      </c>
      <c r="N28" s="98"/>
      <c r="O28" s="98"/>
      <c r="P28" s="98"/>
      <c r="Q28" s="115">
        <f>SUM(T26:AD27)</f>
        <v>0</v>
      </c>
      <c r="R28" s="115"/>
      <c r="S28" s="115"/>
      <c r="T28" s="115"/>
      <c r="U28" s="115"/>
      <c r="V28" s="115"/>
      <c r="W28" s="115"/>
      <c r="X28" s="115"/>
      <c r="Y28" s="98" t="s">
        <v>40</v>
      </c>
      <c r="Z28" s="98"/>
      <c r="AA28" s="98"/>
      <c r="AB28" s="98"/>
      <c r="AC28" s="98"/>
      <c r="AD28" s="98"/>
      <c r="AE28" s="98"/>
      <c r="AF28" s="99"/>
    </row>
    <row r="29" spans="2:40" ht="6" customHeight="1">
      <c r="B29" s="23"/>
      <c r="C29" s="121"/>
      <c r="D29" s="121"/>
      <c r="E29" s="121"/>
      <c r="F29" s="121"/>
      <c r="G29" s="121"/>
      <c r="H29" s="121"/>
      <c r="I29" s="121"/>
      <c r="J29" s="121"/>
      <c r="K29" s="121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3"/>
    </row>
    <row r="30" spans="2:40" ht="24" customHeight="1">
      <c r="B30" s="124" t="s">
        <v>41</v>
      </c>
      <c r="C30" s="125"/>
      <c r="D30" s="125"/>
      <c r="E30" s="126" t="s">
        <v>46</v>
      </c>
      <c r="F30" s="125"/>
      <c r="G30" s="125"/>
      <c r="H30" s="125"/>
      <c r="I30" s="125"/>
      <c r="J30" s="125"/>
      <c r="K30" s="127"/>
      <c r="L30" s="24"/>
      <c r="M30" s="25"/>
      <c r="N30" s="25"/>
      <c r="O30" s="25"/>
      <c r="P30" s="25"/>
      <c r="Q30" s="25"/>
      <c r="R30" s="25"/>
      <c r="S30" s="34"/>
      <c r="T30" s="34"/>
      <c r="U30" s="34"/>
      <c r="V30" s="34"/>
      <c r="W30" s="34"/>
      <c r="X30" s="34"/>
      <c r="Y30" s="34"/>
      <c r="Z30" s="128"/>
      <c r="AA30" s="128"/>
      <c r="AB30" s="128"/>
      <c r="AC30" s="34"/>
      <c r="AD30" s="34"/>
      <c r="AE30" s="34"/>
      <c r="AF30" s="26"/>
    </row>
    <row r="31" spans="2:40" s="7" customFormat="1" ht="28.5" hidden="1" customHeight="1">
      <c r="B31" s="129" t="s">
        <v>42</v>
      </c>
      <c r="C31" s="128"/>
      <c r="D31" s="130"/>
      <c r="E31" s="131"/>
      <c r="F31" s="131"/>
      <c r="G31" s="131"/>
      <c r="H31" s="131"/>
      <c r="I31" s="132" t="s">
        <v>43</v>
      </c>
      <c r="J31" s="132"/>
      <c r="K31" s="132"/>
      <c r="L31" s="131"/>
      <c r="M31" s="131"/>
      <c r="N31" s="131"/>
      <c r="O31" s="131"/>
      <c r="P31" s="131"/>
      <c r="Q31" s="131"/>
      <c r="R31" s="35" t="s">
        <v>44</v>
      </c>
      <c r="S31" s="131"/>
      <c r="T31" s="131"/>
      <c r="U31" s="131"/>
      <c r="V31" s="131"/>
      <c r="W31" s="131"/>
      <c r="X31" s="132" t="s">
        <v>45</v>
      </c>
      <c r="Y31" s="132"/>
      <c r="Z31" s="116"/>
      <c r="AA31" s="117"/>
      <c r="AB31" s="117"/>
      <c r="AC31" s="117"/>
      <c r="AD31" s="117"/>
      <c r="AE31" s="117"/>
      <c r="AF31" s="118"/>
      <c r="AH31" s="4"/>
      <c r="AI31" s="4"/>
      <c r="AJ31" s="4"/>
      <c r="AK31" s="4"/>
      <c r="AL31" s="4"/>
      <c r="AM31" s="4"/>
      <c r="AN31" s="4"/>
    </row>
    <row r="32" spans="2:40" s="7" customFormat="1" ht="24.95" customHeight="1">
      <c r="B32" s="27"/>
      <c r="C32" s="27"/>
      <c r="D32" s="27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20"/>
      <c r="AF32" s="120"/>
      <c r="AH32" s="4"/>
      <c r="AI32" s="4"/>
      <c r="AJ32" s="4"/>
      <c r="AK32" s="4"/>
      <c r="AL32" s="4"/>
      <c r="AM32" s="4"/>
      <c r="AN32" s="4"/>
    </row>
    <row r="33" spans="2:40" s="7" customFormat="1" ht="24.95" customHeight="1">
      <c r="B33" s="138"/>
      <c r="C33" s="138"/>
      <c r="D33" s="138"/>
      <c r="E33" s="139"/>
      <c r="F33" s="139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H33" s="4"/>
      <c r="AI33" s="4"/>
      <c r="AJ33" s="4"/>
      <c r="AK33" s="4"/>
      <c r="AL33" s="4"/>
      <c r="AM33" s="4"/>
      <c r="AN33" s="4"/>
    </row>
    <row r="34" spans="2:40" s="7" customFormat="1" ht="24.95" customHeight="1"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H34" s="4"/>
      <c r="AI34" s="4"/>
      <c r="AJ34" s="4"/>
      <c r="AK34" s="4"/>
      <c r="AL34" s="4"/>
      <c r="AM34" s="4"/>
      <c r="AN34" s="4"/>
    </row>
    <row r="35" spans="2:40" s="7" customFormat="1" ht="20.100000000000001" customHeight="1"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H35" s="4"/>
      <c r="AI35" s="4"/>
      <c r="AJ35" s="4"/>
      <c r="AK35" s="4"/>
      <c r="AL35" s="4"/>
      <c r="AM35" s="4"/>
      <c r="AN35" s="4"/>
    </row>
    <row r="36" spans="2:40" s="7" customFormat="1" ht="15" customHeight="1"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H36" s="4"/>
      <c r="AI36" s="4"/>
      <c r="AJ36" s="4"/>
      <c r="AK36" s="4"/>
      <c r="AL36" s="4"/>
      <c r="AM36" s="4"/>
      <c r="AN36" s="4"/>
    </row>
    <row r="37" spans="2:40" s="7" customFormat="1" ht="15" customHeight="1"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H37" s="4"/>
      <c r="AI37" s="4"/>
      <c r="AJ37" s="4"/>
      <c r="AK37" s="4"/>
      <c r="AL37" s="4"/>
      <c r="AM37" s="4"/>
      <c r="AN37" s="4"/>
    </row>
    <row r="38" spans="2:40" s="7" customFormat="1" ht="15" customHeight="1"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H38" s="4"/>
      <c r="AI38" s="4"/>
      <c r="AJ38" s="4"/>
      <c r="AK38" s="4"/>
      <c r="AL38" s="4"/>
      <c r="AM38" s="4"/>
      <c r="AN38" s="4"/>
    </row>
    <row r="39" spans="2:40" s="7" customFormat="1" ht="15" customHeight="1"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H39" s="4"/>
      <c r="AI39" s="4"/>
      <c r="AJ39" s="4"/>
      <c r="AK39" s="4"/>
      <c r="AL39" s="4"/>
      <c r="AM39" s="4"/>
      <c r="AN39" s="4"/>
    </row>
    <row r="40" spans="2:40" s="7" customFormat="1" ht="15" customHeight="1"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H40" s="4"/>
      <c r="AI40" s="4"/>
      <c r="AJ40" s="4"/>
      <c r="AK40" s="4"/>
      <c r="AL40" s="4"/>
      <c r="AM40" s="4"/>
      <c r="AN40" s="4"/>
    </row>
    <row r="41" spans="2:40" ht="24.75" customHeight="1"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</row>
    <row r="42" spans="2:40" ht="24.95" customHeight="1"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</row>
    <row r="43" spans="2:40" ht="24.95" customHeight="1">
      <c r="Y43" s="136"/>
      <c r="Z43" s="136"/>
      <c r="AA43" s="136"/>
      <c r="AB43" s="136"/>
      <c r="AC43" s="136"/>
      <c r="AD43" s="136"/>
      <c r="AE43" s="136"/>
    </row>
    <row r="44" spans="2:40" ht="24.95" customHeight="1">
      <c r="Y44" s="137"/>
      <c r="Z44" s="138"/>
      <c r="AA44" s="138"/>
      <c r="AB44" s="138"/>
      <c r="AC44" s="138"/>
      <c r="AD44" s="138"/>
      <c r="AE44" s="138"/>
    </row>
    <row r="46" spans="2:40" ht="24.95" customHeight="1">
      <c r="B46" s="133" t="s">
        <v>6</v>
      </c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</row>
    <row r="47" spans="2:40" ht="24.95" customHeight="1"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</row>
  </sheetData>
  <mergeCells count="189">
    <mergeCell ref="B46:AF47"/>
    <mergeCell ref="AA33:AB33"/>
    <mergeCell ref="AC33:AD33"/>
    <mergeCell ref="AE33:AF33"/>
    <mergeCell ref="B34:AF42"/>
    <mergeCell ref="Y43:AE43"/>
    <mergeCell ref="Y44:AE44"/>
    <mergeCell ref="O33:P33"/>
    <mergeCell ref="Q33:R33"/>
    <mergeCell ref="S33:T33"/>
    <mergeCell ref="U33:V33"/>
    <mergeCell ref="W33:X33"/>
    <mergeCell ref="Y33:Z33"/>
    <mergeCell ref="B33:D33"/>
    <mergeCell ref="E33:F33"/>
    <mergeCell ref="G33:H33"/>
    <mergeCell ref="I33:J33"/>
    <mergeCell ref="K33:L33"/>
    <mergeCell ref="M33:N33"/>
    <mergeCell ref="Z31:AF31"/>
    <mergeCell ref="U32:V32"/>
    <mergeCell ref="W32:X32"/>
    <mergeCell ref="Y32:Z32"/>
    <mergeCell ref="AA32:AB32"/>
    <mergeCell ref="AC32:AD32"/>
    <mergeCell ref="AE32:AF32"/>
    <mergeCell ref="C29:AF29"/>
    <mergeCell ref="B30:D30"/>
    <mergeCell ref="E30:K30"/>
    <mergeCell ref="Z30:AB30"/>
    <mergeCell ref="B31:D31"/>
    <mergeCell ref="E31:H31"/>
    <mergeCell ref="I31:K31"/>
    <mergeCell ref="L31:Q31"/>
    <mergeCell ref="S31:W31"/>
    <mergeCell ref="X31:Y31"/>
    <mergeCell ref="B27:P27"/>
    <mergeCell ref="Q27:S27"/>
    <mergeCell ref="T27:AD27"/>
    <mergeCell ref="AE27:AF27"/>
    <mergeCell ref="B28:D28"/>
    <mergeCell ref="E28:L28"/>
    <mergeCell ref="M28:P28"/>
    <mergeCell ref="Q28:X28"/>
    <mergeCell ref="Y28:AA28"/>
    <mergeCell ref="AB28:AF28"/>
    <mergeCell ref="B25:S25"/>
    <mergeCell ref="T25:Y25"/>
    <mergeCell ref="Z25:AD25"/>
    <mergeCell ref="AE25:AF25"/>
    <mergeCell ref="B26:S26"/>
    <mergeCell ref="T26:AD26"/>
    <mergeCell ref="AE26:AF26"/>
    <mergeCell ref="AE23:AF23"/>
    <mergeCell ref="D24:J24"/>
    <mergeCell ref="K24:M24"/>
    <mergeCell ref="N24:P24"/>
    <mergeCell ref="Q24:S24"/>
    <mergeCell ref="T24:Y24"/>
    <mergeCell ref="Z24:AD24"/>
    <mergeCell ref="AE24:AF24"/>
    <mergeCell ref="D23:J23"/>
    <mergeCell ref="K23:M23"/>
    <mergeCell ref="N23:P23"/>
    <mergeCell ref="Q23:S23"/>
    <mergeCell ref="T23:Y23"/>
    <mergeCell ref="Z23:AD23"/>
    <mergeCell ref="AE21:AF21"/>
    <mergeCell ref="D22:J22"/>
    <mergeCell ref="K22:M22"/>
    <mergeCell ref="N22:P22"/>
    <mergeCell ref="Q22:S22"/>
    <mergeCell ref="T22:Y22"/>
    <mergeCell ref="Z22:AD22"/>
    <mergeCell ref="AE22:AF22"/>
    <mergeCell ref="D21:J21"/>
    <mergeCell ref="K21:M21"/>
    <mergeCell ref="N21:P21"/>
    <mergeCell ref="Q21:S21"/>
    <mergeCell ref="T21:Y21"/>
    <mergeCell ref="Z21:AD21"/>
    <mergeCell ref="AE19:AF19"/>
    <mergeCell ref="D20:J20"/>
    <mergeCell ref="K20:M20"/>
    <mergeCell ref="N20:P20"/>
    <mergeCell ref="Q20:S20"/>
    <mergeCell ref="T20:Y20"/>
    <mergeCell ref="Z20:AD20"/>
    <mergeCell ref="AE20:AF20"/>
    <mergeCell ref="D19:J19"/>
    <mergeCell ref="K19:M19"/>
    <mergeCell ref="N19:P19"/>
    <mergeCell ref="Q19:S19"/>
    <mergeCell ref="T19:Y19"/>
    <mergeCell ref="Z19:AD19"/>
    <mergeCell ref="AE17:AF17"/>
    <mergeCell ref="D18:J18"/>
    <mergeCell ref="K18:M18"/>
    <mergeCell ref="N18:P18"/>
    <mergeCell ref="Q18:S18"/>
    <mergeCell ref="T18:Y18"/>
    <mergeCell ref="Z18:AD18"/>
    <mergeCell ref="AE18:AF18"/>
    <mergeCell ref="D17:J17"/>
    <mergeCell ref="K17:M17"/>
    <mergeCell ref="N17:P17"/>
    <mergeCell ref="Q17:S17"/>
    <mergeCell ref="T17:Y17"/>
    <mergeCell ref="Z17:AD17"/>
    <mergeCell ref="AE15:AF15"/>
    <mergeCell ref="D16:J16"/>
    <mergeCell ref="K16:M16"/>
    <mergeCell ref="N16:P16"/>
    <mergeCell ref="Q16:S16"/>
    <mergeCell ref="T16:Y16"/>
    <mergeCell ref="Z16:AD16"/>
    <mergeCell ref="AE16:AF16"/>
    <mergeCell ref="D15:J15"/>
    <mergeCell ref="K15:M15"/>
    <mergeCell ref="N15:P15"/>
    <mergeCell ref="Q15:S15"/>
    <mergeCell ref="T15:Y15"/>
    <mergeCell ref="Z15:AD15"/>
    <mergeCell ref="AE13:AF13"/>
    <mergeCell ref="D14:J14"/>
    <mergeCell ref="K14:M14"/>
    <mergeCell ref="N14:P14"/>
    <mergeCell ref="Q14:S14"/>
    <mergeCell ref="T14:Y14"/>
    <mergeCell ref="Z14:AD14"/>
    <mergeCell ref="AE14:AF14"/>
    <mergeCell ref="D13:J13"/>
    <mergeCell ref="K13:M13"/>
    <mergeCell ref="N13:P13"/>
    <mergeCell ref="Q13:S13"/>
    <mergeCell ref="T13:Y13"/>
    <mergeCell ref="Z13:AD13"/>
    <mergeCell ref="D10:J10"/>
    <mergeCell ref="K10:M10"/>
    <mergeCell ref="N10:P10"/>
    <mergeCell ref="Q10:S10"/>
    <mergeCell ref="T10:Y10"/>
    <mergeCell ref="Z10:AD10"/>
    <mergeCell ref="AE10:AF10"/>
    <mergeCell ref="AE11:AF11"/>
    <mergeCell ref="D12:J12"/>
    <mergeCell ref="K12:M12"/>
    <mergeCell ref="N12:P12"/>
    <mergeCell ref="Q12:S12"/>
    <mergeCell ref="T12:Y12"/>
    <mergeCell ref="Z12:AD12"/>
    <mergeCell ref="AE12:AF12"/>
    <mergeCell ref="D11:J11"/>
    <mergeCell ref="K11:M11"/>
    <mergeCell ref="N11:P11"/>
    <mergeCell ref="Q11:S11"/>
    <mergeCell ref="T11:Y11"/>
    <mergeCell ref="Z11:AD11"/>
    <mergeCell ref="B7:E7"/>
    <mergeCell ref="G7:AD7"/>
    <mergeCell ref="B8:E8"/>
    <mergeCell ref="G8:P8"/>
    <mergeCell ref="T8:AE8"/>
    <mergeCell ref="D9:J9"/>
    <mergeCell ref="K9:M9"/>
    <mergeCell ref="N9:P9"/>
    <mergeCell ref="Q9:S9"/>
    <mergeCell ref="T9:Y9"/>
    <mergeCell ref="Z9:AD9"/>
    <mergeCell ref="AE9:AF9"/>
    <mergeCell ref="B2:AF2"/>
    <mergeCell ref="C3:I3"/>
    <mergeCell ref="K3:K6"/>
    <mergeCell ref="L3:O3"/>
    <mergeCell ref="P3:AF3"/>
    <mergeCell ref="B4:H4"/>
    <mergeCell ref="I4:J4"/>
    <mergeCell ref="L4:O4"/>
    <mergeCell ref="P4:W4"/>
    <mergeCell ref="X4:Y4"/>
    <mergeCell ref="Z4:AF4"/>
    <mergeCell ref="B5:J5"/>
    <mergeCell ref="L5:O5"/>
    <mergeCell ref="P5:AF5"/>
    <mergeCell ref="B6:J6"/>
    <mergeCell ref="L6:O6"/>
    <mergeCell ref="P6:U6"/>
    <mergeCell ref="V6:W6"/>
    <mergeCell ref="X6:AF6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빈문서</vt:lpstr>
      <vt:lpstr>빈문서!Print_Area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dongwoo kim</cp:lastModifiedBy>
  <cp:lastPrinted>2026-03-27T04:51:02Z</cp:lastPrinted>
  <dcterms:created xsi:type="dcterms:W3CDTF">2025-04-28T00:27:59Z</dcterms:created>
  <dcterms:modified xsi:type="dcterms:W3CDTF">2026-03-29T12:09:26Z</dcterms:modified>
</cp:coreProperties>
</file>